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ool\xwechat_files\hzk835309278_aad6\msg\file\2026-10\"/>
    </mc:Choice>
  </mc:AlternateContent>
  <bookViews>
    <workbookView windowWidth="21600" windowHeight="9555"/>
  </bookViews>
  <sheets>
    <sheet name="内容与素材清单" sheetId="1" r:id="rId1"/>
    <sheet name="现有素材索引" sheetId="2" r:id="rId2"/>
    <sheet name="填写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<sst xmlns="http://schemas.openxmlformats.org/spreadsheetml/2006/main" count="853" uniqueCount="399">
  <si>
    <t>网站英文内容与素材补充清单</t>
  </si>
  <si>
    <t>依据当前网站页面与 assets 目录整理｜黄色列为协作填写区｜更新日期：2026-09-23</t>
  </si>
  <si>
    <t>总条目</t>
  </si>
  <si>
    <t>待补充/待确认</t>
  </si>
  <si>
    <t>已有一定素材</t>
  </si>
  <si>
    <t>高优先级</t>
  </si>
  <si>
    <t>序号</t>
  </si>
  <si>
    <t>大模块</t>
  </si>
  <si>
    <t>子模块</t>
  </si>
  <si>
    <t>页面位置</t>
  </si>
  <si>
    <t>现有英文介绍 / 占位提示</t>
  </si>
  <si>
    <t>需要补充的英文内容清单</t>
  </si>
  <si>
    <t>现有素材清单</t>
  </si>
  <si>
    <t>建议补充素材清单</t>
  </si>
  <si>
    <t>素材规格 / 注意事项</t>
  </si>
  <si>
    <t>优先级</t>
  </si>
  <si>
    <t>状态</t>
  </si>
  <si>
    <t>截止日期</t>
  </si>
  <si>
    <t>反馈 / 备注</t>
  </si>
  <si>
    <t>首页 Home</t>
  </si>
  <si>
    <t>首屏个人定位 Hero</t>
  </si>
  <si>
    <t>index.html · Hero</t>
  </si>
  <si>
    <t>Hello, I'm Eleanor Zhang. Curious Builder · Empathetic Leader · Visual Storyteller · Disciplined Athlete</t>
  </si>
  <si>
    <r>
      <rPr>
        <sz val="10"/>
        <color rgb="FF202936"/>
        <rFont val="宋体-简"/>
        <charset val="134"/>
      </rPr>
      <t>确认姓名、毕业年份；补充</t>
    </r>
    <r>
      <rPr>
        <sz val="10"/>
        <color rgb="FF202936"/>
        <rFont val="Arial"/>
        <charset val="134"/>
      </rPr>
      <t>1</t>
    </r>
    <r>
      <rPr>
        <sz val="10"/>
        <color rgb="FF202936"/>
        <rFont val="宋体-简"/>
        <charset val="134"/>
      </rPr>
      <t>句更有个人辨识度的英文定位或保留现有定位。</t>
    </r>
  </si>
  <si>
    <t>暂无独立首屏素材</t>
  </si>
  <si>
    <t>横版或竖版主视觉照片1张（自然、清晰、可裁切）；如不用照片请确认。</t>
  </si>
  <si>
    <t>图片建议≥2000px；说明拍摄时间、地点、摄影者及使用授权。</t>
  </si>
  <si>
    <t>高</t>
  </si>
  <si>
    <t>待补充</t>
  </si>
  <si>
    <t/>
  </si>
  <si>
    <t>个人简介 Short bio</t>
  </si>
  <si>
    <t>index.html · Home</t>
  </si>
  <si>
    <t>[SHORT BIO — 150–250 words about background, interests, character, and what the student hopes to explore. Keep this specific and personal rather than résumé-like.]</t>
  </si>
  <si>
    <t>英文个人简介150–250词：成长背景、核心兴趣、性格特点、希望继续探索的方向；避免简历式罗列。</t>
  </si>
  <si>
    <t>Head Prefect.jpg（当前作为个人照片）</t>
  </si>
  <si>
    <t>自然肖像2–3张；可选童年/生活照1张。</t>
  </si>
  <si>
    <t>提供每张图片的英文说明、年份、地点、人物关系及优先顺序。</t>
  </si>
  <si>
    <t>学生代表演讲 Student Representative Speech</t>
  </si>
  <si>
    <t>A concise edited clip that introduces Eleanor's voice, values, and relationship with her school community.</t>
  </si>
  <si>
    <t>英文简介80–120词：演讲场合、听众、主题、本人角色、核心观点与反思；确认视频英文标题。</t>
  </si>
  <si>
    <t>student-representative-highlights.mp4；2张封面图</t>
  </si>
  <si>
    <t>完整演讲或字幕文件；活动照片2–4张；演讲稿/活动证明（可选）。</t>
  </si>
  <si>
    <t>部分已有</t>
  </si>
  <si>
    <t>联系信息 Contact</t>
  </si>
  <si>
    <t>index.html · Closing</t>
  </si>
  <si>
    <t>Builder · Leader · Storyteller · Athlete · Explorer</t>
  </si>
  <si>
    <t>确认展示用邮箱、毕业年份、简历文件版本、页脚更新时间。
skatingxiyue@gmail.com Grad2027 没有简历文件版本</t>
  </si>
  <si>
    <t>resume.pdf</t>
  </si>
  <si>
    <t>最新版英文简历PDF；可选个人头像或二维码。</t>
  </si>
  <si>
    <t>文件名建议简洁；检查个人隐私信息与公开权限。</t>
  </si>
  <si>
    <t>待确认</t>
  </si>
  <si>
    <t>创业实践 Ventures</t>
  </si>
  <si>
    <t>Storage Platform &amp; Secondhand Trading</t>
  </si>
  <si>
    <t>ventures.html · 02.01</t>
  </si>
  <si>
    <t>[PROBLEM, USERS, YOUR ROLE, HOW THE PLATFORM WORKED, EVIDENCE OF USE, AND WHAT YOU WOULD IMPROVE.]</t>
  </si>
  <si>
    <r>
      <rPr>
        <sz val="10"/>
        <color rgb="FF202936"/>
        <rFont val="宋体-简"/>
        <charset val="134"/>
      </rPr>
      <t>英文项目介绍</t>
    </r>
    <r>
      <rPr>
        <sz val="10"/>
        <color rgb="FF202936"/>
        <rFont val="Arial"/>
        <charset val="134"/>
      </rPr>
      <t>150–220</t>
    </r>
    <r>
      <rPr>
        <sz val="10"/>
        <color rgb="FF202936"/>
        <rFont val="宋体-简"/>
        <charset val="134"/>
      </rPr>
      <t>词：问题、目标用户、发起原因、个人职责、方案</t>
    </r>
    <r>
      <rPr>
        <sz val="10"/>
        <color rgb="FF202936"/>
        <rFont val="Arial"/>
        <charset val="134"/>
      </rPr>
      <t>/</t>
    </r>
    <r>
      <rPr>
        <sz val="10"/>
        <color rgb="FF202936"/>
        <rFont val="宋体-简"/>
        <charset val="134"/>
      </rPr>
      <t>流程、使用数据或结果、复盘改进。
Storage platform: Every summer, international boarders at Cheshire Academy face the same puzzle: where does a year of belongings go when home is a long flight away? The storage fee at school is so expensive!
I started Easy Storage &amp; Transport after renting my own storage unit and realizing the real friction was not storage itself but the coordination around it. The service bundles storage and moving for boarders, especially international students without family nearby.
Secondhand Trading: At the end of every school year, Cheshire Academy's dorms fill with things nobody wants to carry home: desk lamps, mini fridges, textbooks, winter coats. Much of it ends up in the dumpster, while in September new students buy the exact same items online and wait for them to ship.
Circlo is a school-based secondhand exchange platform that connects these two groups. It serves boarding students, especially international students who cannot easily store or ship bulky items, as well as new students setting up their rooms for the first time.
I started Circlo because I kept seeing the same waste twice a year, once when things were thrown out and again when they were bought new. The problem was never a lack of useful items, only the lack of a simple way for them to change hands on campus.</t>
    </r>
  </si>
  <si>
    <t>网页目前误用Writing Center Tutor2.jpg、Calligraphy Club2.jpg</t>
  </si>
  <si>
    <t>产品界面/流程图3–6张；团队或用户调研照；运营数据截图；项目演示视频；方案PDF。</t>
  </si>
  <si>
    <t>须提供结果数据口径；界面截图隐藏个人信息；标注本人具体贡献。</t>
  </si>
  <si>
    <t>当前素材临时占位，需替换</t>
  </si>
  <si>
    <t>Healthy Bowl</t>
  </si>
  <si>
    <t>ventures.html · 02.02</t>
  </si>
  <si>
    <t>[HOW CERAMICS, PORTION DESIGN, AND HEALTH BEHAVIOR CAME TOGETHER.]</t>
  </si>
  <si>
    <r>
      <rPr>
        <sz val="10"/>
        <color rgb="FF202936"/>
        <rFont val="宋体-简"/>
        <charset val="134"/>
      </rPr>
      <t>英文项目介绍</t>
    </r>
    <r>
      <rPr>
        <sz val="10"/>
        <color rgb="FF202936"/>
        <rFont val="Arial"/>
        <charset val="134"/>
      </rPr>
      <t>150–220</t>
    </r>
    <r>
      <rPr>
        <sz val="10"/>
        <color rgb="FF202936"/>
        <rFont val="宋体-简"/>
        <charset val="134"/>
      </rPr>
      <t>词：洞察、健康行为假设、景德镇</t>
    </r>
    <r>
      <rPr>
        <sz val="10"/>
        <color rgb="FF202936"/>
        <rFont val="Arial"/>
        <charset val="134"/>
      </rPr>
      <t>/</t>
    </r>
    <r>
      <rPr>
        <sz val="10"/>
        <color rgb="FF202936"/>
        <rFont val="宋体-简"/>
        <charset val="134"/>
      </rPr>
      <t>陶瓷背景、设计过程、测试反馈、成果与反思。
Jingdezhen has made porcelain for over 2,000 years, yet walking its markets, I saw shelf after shelf of near-identical bowls. At the Export Porcelain Museum, I found the opposite: pieces reshaped around how each culture ate, from wide platters for the Islamic world to creamers for British tea. I began to ask what tableware would look like if it were designed for how we eat now.
My answer came from my own life. After an injury ended my figure skating training, I worked with a nutritionist and learned that eating order matters: vegetables, then protein, then carbohydrates produced a far steadier blood sugar curve than the reverse. My hypothesis was that if a dish made portions and order visible, people could eat a balanced meal without weighing or calculating anything.
Drawing on the layered decoration of a Yuan dynasty vase and the window panels of Kraak porcelain, I designed a three-tier bowl that guides eating order and a five-section salad plate labeled with weights and calories, then hand-painted both in Jingdezhen.</t>
    </r>
  </si>
  <si>
    <t>bowls.png；Porcelain portion-bowls.JPG；SavorSlim Logo.jpg；减肥碗.pdf</t>
  </si>
  <si>
    <t>原型迭代照片；调研/访谈记录；使用场景；获奖或展示证明；品牌说明。</t>
  </si>
  <si>
    <t>说明每版原型差异；PDF若中文需英文摘要。</t>
  </si>
  <si>
    <t>Kettle Recipe</t>
  </si>
  <si>
    <t>ventures.html · 02.03</t>
  </si>
  <si>
    <t>[THE IDEA, TESTING PROCESS, AND WHAT YOU LEARNED ABOUT USERS OR FOOD.]</t>
  </si>
  <si>
    <r>
      <rPr>
        <sz val="10"/>
        <color rgb="FF202936"/>
        <rFont val="宋体-简"/>
        <charset val="134"/>
      </rPr>
      <t>英文项目介绍</t>
    </r>
    <r>
      <rPr>
        <sz val="10"/>
        <color rgb="FF202936"/>
        <rFont val="Arial"/>
        <charset val="134"/>
      </rPr>
      <t>120–180</t>
    </r>
    <r>
      <rPr>
        <sz val="10"/>
        <color rgb="FF202936"/>
        <rFont val="宋体-简"/>
        <charset val="134"/>
      </rPr>
      <t>词：创意来源、目标用户、测试次数、配方</t>
    </r>
    <r>
      <rPr>
        <sz val="10"/>
        <color rgb="FF202936"/>
        <rFont val="Arial"/>
        <charset val="134"/>
      </rPr>
      <t>/</t>
    </r>
    <r>
      <rPr>
        <sz val="10"/>
        <color rgb="FF202936"/>
        <rFont val="宋体-简"/>
        <charset val="134"/>
      </rPr>
      <t>产品迭代、用户反馈和学习。</t>
    </r>
    <r>
      <rPr>
        <sz val="10"/>
        <color rgb="FF202936"/>
        <rFont val="Arial"/>
        <charset val="134"/>
      </rPr>
      <t xml:space="preserve">
Kettle began with a question most people ask every evening: my fridge is full, so why do I have nothing to cook? At LaunchX, our team built Kettle, an app that scans your fridge, pantry, and spice cabinet, then recommends recipes you can make right now, filtered by diet, nutrient goals, and skill level.
We first designed for young adults. I led our market research, including user interviews at UC San Diego, and across 3 rounds of testing with 40 users, the picture changed. Most students ate in dining halls or ordered takeout, so they rarely cooked, and while they liked the idea, they said they would not pay for it. Parents were different. Cooking for their children every day, they often struggled to decide what to make and what their kids would actually eat. We pivoted to parents aged 35 to 50, where Kettle could save real time every day.
The biggest lesson was to let users redefine the problem. Our first idea was right about the pain but wrong about who felt it most.</t>
    </r>
  </si>
  <si>
    <t>当前误用Healthy Bowl素材</t>
  </si>
  <si>
    <t>配方步骤图；实验/测试照片；成品图；用户反馈；过程记录或PDF。</t>
  </si>
  <si>
    <t>明确与Healthy Bowl是否为同一项目；若不是必须提供独立素材。</t>
  </si>
  <si>
    <t>中</t>
  </si>
  <si>
    <t>BPA</t>
  </si>
  <si>
    <t>ventures.html · 02.04</t>
  </si>
  <si>
    <t>[COMPETITION CATEGORY, TEAM ROLE, PREPARATION, RESULT, AND REFLECTION.]</t>
  </si>
  <si>
    <r>
      <rPr>
        <sz val="10"/>
        <color rgb="FF202936"/>
        <rFont val="宋体-简"/>
        <charset val="134"/>
      </rPr>
      <t>英文项目介绍</t>
    </r>
    <r>
      <rPr>
        <sz val="10"/>
        <color rgb="FF202936"/>
        <rFont val="Arial"/>
        <charset val="134"/>
      </rPr>
      <t>150–220</t>
    </r>
    <r>
      <rPr>
        <sz val="10"/>
        <color rgb="FF202936"/>
        <rFont val="宋体-简"/>
        <charset val="134"/>
      </rPr>
      <t>词：比赛全称</t>
    </r>
    <r>
      <rPr>
        <sz val="10"/>
        <color rgb="FF202936"/>
        <rFont val="Arial"/>
        <charset val="134"/>
      </rPr>
      <t>/</t>
    </r>
    <r>
      <rPr>
        <sz val="10"/>
        <color rgb="FF202936"/>
        <rFont val="宋体-简"/>
        <charset val="134"/>
      </rPr>
      <t>组别、题目、团队分工、准备过程、个人贡献、全国铜奖结果、反思。
In the 2025 Business Professionals of America (BPA) competition, our team competed in Presentation Management, high school Classic division. Our task was to create a proposal for a sports company. We want to build a badminton company which is served to high income family. 
I built the research foundation and designed the slides. I conducted the market research, analyzed our target users, and turned raw data into the charts and evidence that anchored our argument.</t>
    </r>
  </si>
  <si>
    <t>IMG_1268.JPG；IMG_1269.JPG；IMG_7479.HEIC；IMG_7489.JPG；IMG_7510.PNG；BPA证书PDF；全国铜奖PDF</t>
  </si>
  <si>
    <t>英文版项目摘要；演示文稿；比赛现场照片；个人职责证明；获奖信息英文翻译。</t>
  </si>
  <si>
    <t>注明比赛年份、级别、奖项官方英文名称；HEIC建议另存JPG。</t>
  </si>
  <si>
    <t>China Camping Club</t>
  </si>
  <si>
    <t>ventures.html · 02.05</t>
  </si>
  <si>
    <t>[WHY YOU STARTED OR JOINED, HOW THE COMMUNITY GREW, AND WHAT YOU ORGANIZED.]</t>
  </si>
  <si>
    <r>
      <rPr>
        <sz val="10"/>
        <color rgb="FF202936"/>
        <rFont val="宋体-简"/>
        <charset val="134"/>
      </rPr>
      <t>英文项目介绍</t>
    </r>
    <r>
      <rPr>
        <sz val="10"/>
        <color rgb="FF202936"/>
        <rFont val="Arial"/>
        <charset val="134"/>
      </rPr>
      <t>120–180</t>
    </r>
    <r>
      <rPr>
        <sz val="10"/>
        <color rgb="FF202936"/>
        <rFont val="宋体-简"/>
        <charset val="134"/>
      </rPr>
      <t>词：成立</t>
    </r>
    <r>
      <rPr>
        <sz val="10"/>
        <color rgb="FF202936"/>
        <rFont val="Arial"/>
        <charset val="134"/>
      </rPr>
      <t>/</t>
    </r>
    <r>
      <rPr>
        <sz val="10"/>
        <color rgb="FF202936"/>
        <rFont val="宋体-简"/>
        <charset val="134"/>
      </rPr>
      <t>加入原因、社群规模、组织活动、风险与后勤管理、社区影响和个人收获。
Camping Club (Beijing Camping Club Sports Culture Communication Co., Ltd.) is a sports tourism platform that grows China's outdoor industry by building campsites and hosting large-scale camping events. Its flagship is the China International Camping Conference, a national fitness event launched in 2014, initiated by the Samaranch Sports Development Foundation with support from the Social Sports Guidance Center of China's General Administration of Sport. I interned with the team behind the 2026 China Jinhuashan International Camping Conference, held May 16 to 17 in Jinhua, Zhejiang, under the theme "New Scenes, New Consumption, New Life."
Over two weeks, I worked where Chinese camping culture meets the wider world. When international guests visited, I translated for them, explaining Camping Club's philosophy, its partnerships, and the details of its international collaborations. I also helped design activities for the conference and supported marketing by writing WeChat articles and promoting the event on social media.
The internship showed me that hospitality and marketing share one goal: helping people from different backgrounds feel welcome. Whether I was translating for a visitor or writing a post, my job was to make someone want to step inside.</t>
    </r>
  </si>
  <si>
    <t>campingclub.png；campingclub2.png；campingclub.mp4</t>
  </si>
  <si>
    <t>活动时间线；路线/活动海报；成员合照；参与数据；安全说明或活动手册。</t>
  </si>
  <si>
    <t>提供照片人物授权；说明本人是发起人、组织者还是成员。</t>
  </si>
  <si>
    <t>Marketing Intern</t>
  </si>
  <si>
    <t>ventures.html · 02.06</t>
  </si>
  <si>
    <t>[ORGANIZATION, AUDIENCE, RESPONSIBILITIES, CAMPAIGN WORK, AND RESULTS.]</t>
  </si>
  <si>
    <r>
      <rPr>
        <sz val="10"/>
        <color rgb="FF202936"/>
        <rFont val="宋体-简"/>
        <charset val="134"/>
      </rPr>
      <t>英文项目介绍</t>
    </r>
    <r>
      <rPr>
        <sz val="10"/>
        <color rgb="FF202936"/>
        <rFont val="Arial"/>
        <charset val="134"/>
      </rPr>
      <t>150–220</t>
    </r>
    <r>
      <rPr>
        <sz val="10"/>
        <color rgb="FF202936"/>
        <rFont val="宋体-简"/>
        <charset val="134"/>
      </rPr>
      <t>词：机构、岗位与时间、目标受众、负责内容、代表活动、可量化结果、技能与反思。
For international families, boarding school life often happens on the other side of the world, in a language they may not fully follow. As a marketing intern through the Cheshire Academy Internship Program during the 2025–26 and 2026-27 sschool year, I worked to close that gap.
My focus was connecting the school with its international community, especially Chinese-speaking families. Whenever the school held major events, such as Family Weekend or Donation, I recorded videos in Chinese explaining what was happening and why it mattered, so parents could follow their children's lives more closely. I also created welcome videos for incoming international students, giving them a first look at campus life before they arrived. In short, I handled outreach for nearly everything related to international students.</t>
    </r>
  </si>
  <si>
    <t>网页目前误用Calligraphy Club3.jpg</t>
  </si>
  <si>
    <t>工作样例3–6项；活动/广告截图；数据结果；实习证明；主管反馈或推荐语（可选）。</t>
  </si>
  <si>
    <r>
      <rPr>
        <sz val="10"/>
        <color rgb="FF202936"/>
        <rFont val="宋体"/>
        <charset val="134"/>
      </rPr>
      <t>先确认保密要求；对客户</t>
    </r>
    <r>
      <rPr>
        <sz val="10"/>
        <color rgb="FF202936"/>
        <rFont val="Arial"/>
        <charset val="134"/>
      </rPr>
      <t>/</t>
    </r>
    <r>
      <rPr>
        <sz val="10"/>
        <color rgb="FF202936"/>
        <rFont val="宋体"/>
        <charset val="134"/>
      </rPr>
      <t>数据做脱敏；明确本人贡献。</t>
    </r>
  </si>
  <si>
    <t>领导力 Leadership</t>
  </si>
  <si>
    <t>Head Prefect</t>
  </si>
  <si>
    <t>leadership.html · 03.01</t>
  </si>
  <si>
    <t>[WHAT THE ROLE MEANT, WHAT YOU HANDLED, WHAT CHANGED, AND WHAT YOU LEARNED.]</t>
  </si>
  <si>
    <r>
      <rPr>
        <sz val="10"/>
        <color rgb="FF202936"/>
        <rFont val="宋体-简"/>
        <charset val="134"/>
      </rPr>
      <t>英文介绍</t>
    </r>
    <r>
      <rPr>
        <sz val="10"/>
        <color rgb="FF202936"/>
        <rFont val="Arial"/>
        <charset val="134"/>
      </rPr>
      <t>150–220</t>
    </r>
    <r>
      <rPr>
        <sz val="10"/>
        <color rgb="FF202936"/>
        <rFont val="宋体-简"/>
        <charset val="134"/>
      </rPr>
      <t>词：任期、选拔方式、职责、代表性事件、困难对话、改进结果和领导力反思。
At Cheshire Academy, prefects are selected through interviews from more than 60 applicants, and only juniors and seniors may serve. I was a dorm prefect in 2025–26, and this year I am one of two Head Prefects, a role open only to seniors. I lead our prefect team, support boarding students, and act as a link between students and faculty.
Much of my work is mediation. I have helped roommates resolve conflicts and, when needed, worked with teachers to arrange room changes. My hardest conversation came when a few boarders made racist comments toward a group of Chinese students, who began to doubt themselves and their place at the school. I brought in day students and other boarders to show them how much most of our community valued them, then reported the incident to faculty, and the students responsible were held accountable.
I also serve on the Citizenship Committee, one of 12 seniors chosen from over 40 applicants. Working alongside faculty, we review cases where students break school rules, ranked from Tier 3 (least serious) to Tier 1 (most serious), and decide on fair consequences.
Both roles taught me that leadership is less about authority than trust: people need to feel heard before rules mean anything.</t>
    </r>
  </si>
  <si>
    <t>Head Prefect.jpg；演讲视频及2张封面</t>
  </si>
  <si>
    <t>任命/荣誉证明；活动照片；学生代表演讲；项目成果或数据；推荐语（可选）。</t>
  </si>
  <si>
    <t>用具体事件代替泛泛职责；说明影响范围和结果。</t>
  </si>
  <si>
    <t>Head Ambassador</t>
  </si>
  <si>
    <t>leadership.html · 03.02</t>
  </si>
  <si>
    <t>[HOW YOU WELCOMED, REPRESENTED, OR CONNECTED PEOPLE.]</t>
  </si>
  <si>
    <r>
      <rPr>
        <sz val="10"/>
        <color rgb="FF202936"/>
        <rFont val="宋体-简"/>
        <charset val="134"/>
      </rPr>
      <t>英文介绍</t>
    </r>
    <r>
      <rPr>
        <sz val="10"/>
        <color rgb="FF202936"/>
        <rFont val="Arial"/>
        <charset val="134"/>
      </rPr>
      <t>120–180</t>
    </r>
    <r>
      <rPr>
        <sz val="10"/>
        <color rgb="FF202936"/>
        <rFont val="宋体-简"/>
        <charset val="134"/>
      </rPr>
      <t>词：服务对象、主要活动、沟通方式、一次具体故事、产生的连接或改变。As Head Ambassador, I lead campus tours for prospective students and families and train new ambassadors to do the same. My goal on every tour is simple: show visitors not just our buildings, but what it actually feels like to live here.
I talk with families, answering honestly, sharing my own experience, and leaving room for the questions they might feel shy to ask.
Each year, the school hosts a visit from international educational consultants, who help families abroad choose schools. I give them an in-depth introduction to Cheshire and answer their questions about academics, boarding life, and support for international students.
Last year, a student I had shown around decided to enroll, saying my introduction, and seeing how happy I was here, made the difference. That meant a great deal to me. I love this school, and helping someone else find a home here is the best way I know to share it.</t>
    </r>
  </si>
  <si>
    <t>网页目前复用Head Prefect.jpg</t>
  </si>
  <si>
    <t>校园开放日/接待照片；演讲视频；活动手册；项目数据或反馈。</t>
  </si>
  <si>
    <r>
      <rPr>
        <sz val="10"/>
        <color rgb="FF202936"/>
        <rFont val="宋体"/>
        <charset val="134"/>
      </rPr>
      <t>明确与</t>
    </r>
    <r>
      <rPr>
        <sz val="10"/>
        <color rgb="FF202936"/>
        <rFont val="Arial"/>
        <charset val="134"/>
      </rPr>
      <t>Head Prefect</t>
    </r>
    <r>
      <rPr>
        <sz val="10"/>
        <color rgb="FF202936"/>
        <rFont val="宋体"/>
        <charset val="134"/>
      </rPr>
      <t>的区别，避免内容重复。</t>
    </r>
  </si>
  <si>
    <t>当前素材不足</t>
  </si>
  <si>
    <t>Writing Center Tutor</t>
  </si>
  <si>
    <t>leadership.html · 03.03</t>
  </si>
  <si>
    <t>[A STORY ABOUT LISTENING, FEEDBACK, AND HELPING ANOTHER WRITER.]</t>
  </si>
  <si>
    <r>
      <rPr>
        <sz val="10"/>
        <color rgb="FF202936"/>
        <rFont val="宋体-简"/>
        <charset val="134"/>
      </rPr>
      <t>英文介绍</t>
    </r>
    <r>
      <rPr>
        <sz val="10"/>
        <color rgb="FF202936"/>
        <rFont val="Arial"/>
        <charset val="134"/>
      </rPr>
      <t>120–180</t>
    </r>
    <r>
      <rPr>
        <sz val="10"/>
        <color rgb="FF202936"/>
        <rFont val="宋体-简"/>
        <charset val="134"/>
      </rPr>
      <t>词：辅导对象、方法、一次代表性辅导、如何给予反馈、对方变化与本人反思。</t>
    </r>
    <r>
      <rPr>
        <sz val="10"/>
        <color rgb="FF202936"/>
        <rFont val="Arial"/>
        <charset val="134"/>
      </rPr>
      <t xml:space="preserve">
The Writing Center is staffed by just seven students, each selected by teacher recommendation. Our goal is not to turn a C into an A, but to help peers make their essays complete, clear, and easy to follow.
Every session starts with a question: what do you want to improve? Then we read the essay together. I point out gaps, such as a missing topic sentence or a structure that loses the reader, and suggest ways to fix them. The revising is always theirs.</t>
    </r>
  </si>
  <si>
    <t>Writing Center Tutor1–4（4张）</t>
  </si>
  <si>
    <t>匿名化的修改前后样例；培训证明；服务时长/人数；学生反馈（经许可）。</t>
  </si>
  <si>
    <t>写作样例必须匿名；不要公开他人未经许可的作品。</t>
  </si>
  <si>
    <t>Calligraphy Club</t>
  </si>
  <si>
    <t>leadership.html · 03.04</t>
  </si>
  <si>
    <t>[HOW THE CLUB WAS ORGANIZED AND WHAT MEMBERS MADE TOGETHER.]</t>
  </si>
  <si>
    <r>
      <rPr>
        <sz val="10"/>
        <color rgb="FF202936"/>
        <rFont val="宋体-简"/>
        <charset val="134"/>
      </rPr>
      <t>英文介绍</t>
    </r>
    <r>
      <rPr>
        <sz val="10"/>
        <color rgb="FF202936"/>
        <rFont val="Arial"/>
        <charset val="134"/>
      </rPr>
      <t>120–180</t>
    </r>
    <r>
      <rPr>
        <sz val="10"/>
        <color rgb="FF202936"/>
        <rFont val="宋体-简"/>
        <charset val="134"/>
      </rPr>
      <t>词：创办</t>
    </r>
    <r>
      <rPr>
        <sz val="10"/>
        <color rgb="FF202936"/>
        <rFont val="Arial"/>
        <charset val="134"/>
      </rPr>
      <t>/</t>
    </r>
    <r>
      <rPr>
        <sz val="10"/>
        <color rgb="FF202936"/>
        <rFont val="宋体-简"/>
        <charset val="134"/>
      </rPr>
      <t>职务、成员规模、活动组织、教学或创作方式、共同成果、文化意义。</t>
    </r>
    <r>
      <rPr>
        <sz val="10"/>
        <color rgb="FF202936"/>
        <rFont val="Arial"/>
        <charset val="134"/>
      </rPr>
      <t xml:space="preserve">
I founded a Calligraphy Club to share one of the most beautiful parts of Chinese culture with my school. The club has more than 30 members.
Each month, we hold a practice session where members learn the basics, from holding the brush to building each stroke, before creating a final piece of their own choosing.
Our biggest event comes at Chinese New Year. We set up a table in the dining hall where any student can write </t>
    </r>
    <r>
      <rPr>
        <sz val="10"/>
        <color rgb="FF202936"/>
        <rFont val="宋体-简"/>
        <charset val="134"/>
      </rPr>
      <t>福</t>
    </r>
    <r>
      <rPr>
        <sz val="10"/>
        <color rgb="FF202936"/>
        <rFont val="Arial"/>
        <charset val="134"/>
      </rPr>
      <t xml:space="preserve"> (fu), the character for good fortune, and hang it on their door. Practice paper sits beside the table, so first-timers can try a few strokes before writing their finished piece.
For many local students, this is their first hands-on encounter with Chinese culture. Calligraphy turns something unfamiliar into something they can hold, practice, and make their own. For me, it is a way to bring a piece of home to the place that has become my second one.</t>
    </r>
  </si>
  <si>
    <t>Club照片1–4；Calligraphy work 1–5（共9张）</t>
  </si>
  <si>
    <t>活动海报；成员作品精选；展览/比赛证明；社团数据；英文作品说明。</t>
  </si>
  <si>
    <t>每件作品补充英文题名、创作者、媒介、年份；区分本人作品与成员作品。</t>
  </si>
  <si>
    <t>Assistance Coach</t>
  </si>
  <si>
    <t>leadership.html · 03.05</t>
  </si>
  <si>
    <t>[TEAM, RESPONSIBILITIES, AND HOW YOU SUPPORTED OTHERS' DEVELOPMENT.]</t>
  </si>
  <si>
    <r>
      <rPr>
        <sz val="10"/>
        <color rgb="FF202936"/>
        <rFont val="宋体-简"/>
        <charset val="134"/>
      </rPr>
      <t>英文介绍</t>
    </r>
    <r>
      <rPr>
        <sz val="10"/>
        <color rgb="FF202936"/>
        <rFont val="Arial"/>
        <charset val="134"/>
      </rPr>
      <t>120–180</t>
    </r>
    <r>
      <rPr>
        <sz val="10"/>
        <color rgb="FF202936"/>
        <rFont val="宋体-简"/>
        <charset val="134"/>
      </rPr>
      <t>词：项目</t>
    </r>
    <r>
      <rPr>
        <sz val="10"/>
        <color rgb="FF202936"/>
        <rFont val="Arial"/>
        <charset val="134"/>
      </rPr>
      <t>/</t>
    </r>
    <r>
      <rPr>
        <sz val="10"/>
        <color rgb="FF202936"/>
        <rFont val="宋体-简"/>
        <charset val="134"/>
      </rPr>
      <t>队伍、辅导对象、训练职责、支持他人成长的实例、观察到的变化。
I spent thirteen years as a competitive figure skater until an injury ended my training. Stepping off the ice as an athlete did not mean leaving the sport, so I returned to my team as an assistant coach.
I worked with younger skaters, helping the coach run practice: leading warm-ups, breaking down jumps and spins into smaller steps, and giving each skater individual corrections.
One skater kept falling on her first jump because she was afraid of it. I slowed everything down, had her practice the takeoff off-ice first, then on the ice with my hand on her back. Within a few weeks, she landed it on her own.</t>
    </r>
  </si>
  <si>
    <t>网页目前使用soccer3.jpg</t>
  </si>
  <si>
    <t>训练照片/视频；训练计划；教练或学员反馈；资格/服务证明。</t>
  </si>
  <si>
    <r>
      <rPr>
        <sz val="10"/>
        <color rgb="FF202936"/>
        <rFont val="宋体"/>
        <charset val="134"/>
      </rPr>
      <t>确认英文名称建议为</t>
    </r>
    <r>
      <rPr>
        <sz val="10"/>
        <color rgb="FF202936"/>
        <rFont val="Arial"/>
        <charset val="134"/>
      </rPr>
      <t>Assistant Coach</t>
    </r>
    <r>
      <rPr>
        <sz val="10"/>
        <color rgb="FF202936"/>
        <rFont val="宋体"/>
        <charset val="134"/>
      </rPr>
      <t>；说明具体运动项目。</t>
    </r>
  </si>
  <si>
    <t>标题英文建议修正</t>
  </si>
  <si>
    <t>Volunteer Teaching</t>
  </si>
  <si>
    <t>leadership.html · 03.06</t>
  </si>
  <si>
    <t>[WHAT YOU TAUGHT, HOW YOU ADAPTED, AND WHAT STUDENTS TAUGHT YOU.]</t>
  </si>
  <si>
    <r>
      <rPr>
        <sz val="10"/>
        <color rgb="FF202936"/>
        <rFont val="宋体-简"/>
        <charset val="134"/>
      </rPr>
      <t>英文介绍</t>
    </r>
    <r>
      <rPr>
        <sz val="10"/>
        <color rgb="FF202936"/>
        <rFont val="Arial"/>
        <charset val="134"/>
      </rPr>
      <t>150–220</t>
    </r>
    <r>
      <rPr>
        <sz val="10"/>
        <color rgb="FF202936"/>
        <rFont val="宋体-简"/>
        <charset val="134"/>
      </rPr>
      <t>词：地点、时间、学生年龄</t>
    </r>
    <r>
      <rPr>
        <sz val="10"/>
        <color rgb="FF202936"/>
        <rFont val="Arial"/>
        <charset val="134"/>
      </rPr>
      <t>/</t>
    </r>
    <r>
      <rPr>
        <sz val="10"/>
        <color rgb="FF202936"/>
        <rFont val="宋体-简"/>
        <charset val="134"/>
      </rPr>
      <t>人数、教学内容、课程调整、具体课堂故事、互相学习与影响。
In the summer of 2023, I spent 2 weeks teaching English at a primary school in the mountains of Guangxi, China. My class had just over ten second graders, most of whom had no exposure to English.
I arrived with lesson plans built around vocabulary lists and daily talking, and within the first day I could see they were not working. The children were shy, and memorizing words felt meaningless to them. So I changed course. I turned lessons into songs, games, and drawings, teaching colors, animals, and simple greetings through activities they could move and laugh through.
One boy barely spoke in class for the first few days. During a picture game, he suddenly shouted "elephant!" before anyone else, and the whole class cheered. After that, he raised his hand almost every lesson.</t>
    </r>
  </si>
  <si>
    <t>Volunteer Teaching1.jpg；2.jpg；3.jpeg</t>
  </si>
  <si>
    <t>教案；课堂照片；服务证明；学生作品/反馈；项目背景说明。</t>
  </si>
  <si>
    <t>保护未成年人隐私；确认照片授权；不要披露敏感地点与身份。</t>
  </si>
  <si>
    <t>Cooking Club</t>
  </si>
  <si>
    <t>leadership.html · 03.07</t>
  </si>
  <si>
    <t>[A SPECIFIC STORY ABOUT FOOD, TEAMWORK, CULTURE, AND COMMUNITY.]</t>
  </si>
  <si>
    <r>
      <rPr>
        <sz val="10"/>
        <color rgb="FF202936"/>
        <rFont val="宋体-简"/>
        <charset val="134"/>
      </rPr>
      <t>英文介绍</t>
    </r>
    <r>
      <rPr>
        <sz val="10"/>
        <color rgb="FF202936"/>
        <rFont val="Arial"/>
        <charset val="134"/>
      </rPr>
      <t>120–180</t>
    </r>
    <r>
      <rPr>
        <sz val="10"/>
        <color rgb="FF202936"/>
        <rFont val="宋体-简"/>
        <charset val="134"/>
      </rPr>
      <t>词：社团角色、活动形式、一道代表菜</t>
    </r>
    <r>
      <rPr>
        <sz val="10"/>
        <color rgb="FF202936"/>
        <rFont val="Arial"/>
        <charset val="134"/>
      </rPr>
      <t>/</t>
    </r>
    <r>
      <rPr>
        <sz val="10"/>
        <color rgb="FF202936"/>
        <rFont val="宋体-简"/>
        <charset val="134"/>
      </rPr>
      <t>一次活动、分工与文化交流、社群影响。</t>
    </r>
    <r>
      <rPr>
        <sz val="10"/>
        <color rgb="FF202936"/>
        <rFont val="Arial"/>
        <charset val="134"/>
      </rPr>
      <t xml:space="preserve">
As co-founder of the school's Cooking Club, I helped build a community of more than 60 students who share one belief: food is one of the easiest ways to bring people together.
During the year, members gather to make simple dishes and desserts, like small cakes, learning to cook side by side. Our biggest moments come on holidays. For the International Food Festival, Mid-Autumn Festival, and Chinese New Year, we prepare food in large batches for students and teachers to taste.
For students far from home, these dishes are a taste of family. For everyone else, they are an invitation to understand where their friends come from.</t>
    </r>
  </si>
  <si>
    <t>网页目前复用Healthy Bowl图片</t>
  </si>
  <si>
    <t>烹饪活动照片；成品图；菜单/食谱；活动海报；成员合照。</t>
  </si>
  <si>
    <t>明确与Healthy Bowl项目的区别；补充英文菜名与文化背景。</t>
  </si>
  <si>
    <t>视觉创作 Visual</t>
  </si>
  <si>
    <t>摄影 Photography</t>
  </si>
  <si>
    <t>visual.html · 04.01</t>
  </si>
  <si>
    <t>Award-winning work, travel observations from Tibet and elsewhere, and quieter photographs from school and daily life.</t>
  </si>
  <si>
    <r>
      <rPr>
        <sz val="10"/>
        <color rgb="FF202936"/>
        <rFont val="宋体-简"/>
        <charset val="134"/>
      </rPr>
      <t>英文总述</t>
    </r>
    <r>
      <rPr>
        <sz val="10"/>
        <color rgb="FF202936"/>
        <rFont val="Arial"/>
        <charset val="134"/>
      </rPr>
      <t>80–120</t>
    </r>
    <r>
      <rPr>
        <sz val="10"/>
        <color rgb="FF202936"/>
        <rFont val="宋体-简"/>
        <charset val="134"/>
      </rPr>
      <t>词：视觉兴趣、常拍主题、观察方法、器材</t>
    </r>
    <r>
      <rPr>
        <sz val="10"/>
        <color rgb="FF202936"/>
        <rFont val="Arial"/>
        <charset val="134"/>
      </rPr>
      <t>/</t>
    </r>
    <r>
      <rPr>
        <sz val="10"/>
        <color rgb="FF202936"/>
        <rFont val="宋体-简"/>
        <charset val="134"/>
      </rPr>
      <t>后期（如重要）、作品选择逻辑。每张作品补英文题名、年份、地点、简短说明和奖项。</t>
    </r>
    <r>
      <rPr>
        <sz val="10"/>
        <color rgb="FF202936"/>
        <rFont val="Arial"/>
        <charset val="134"/>
      </rPr>
      <t xml:space="preserve">
I photograph the places I travel through, mostly landscapes, from China and Japan to the United States. I rarely plan a shot. Instead, I slow down, walk, and wait until a scene feels like it is telling me something. The photos I chose here each capture one of those moments, and together they trace the places that have shaped how I see the world.</t>
    </r>
  </si>
  <si>
    <t>6张JPG作品；多份获奖/投稿PDF</t>
  </si>
  <si>
    <t>每张作品原图；奖项名称与年份；比赛链接/证书；作品说明；摄影者本人确认。</t>
  </si>
  <si>
    <t>原图建议长边≥3000px；统一色彩与文件名；确认所有作品均为本人拍摄。</t>
  </si>
  <si>
    <t>获奖摄影 Award-winning</t>
  </si>
  <si>
    <t>visual.html · 04.01A</t>
  </si>
  <si>
    <t>A rainbow suspended over the Grand Canyon; The beauty of prism; The path of blessing</t>
  </si>
  <si>
    <t>每件作品英文说明40–80词：拍摄背景、构图/光线、作品意图、奖项及级别。</t>
  </si>
  <si>
    <t>3张JPG；相关PDF若干</t>
  </si>
  <si>
    <t>获奖证书/官方页面；原始高分辨率文件；作品参赛信息。</t>
  </si>
  <si>
    <t>奖项须写官方英文名、主办方、年份和级别。</t>
  </si>
  <si>
    <t>旅行摄影 Tibet &amp; Travel</t>
  </si>
  <si>
    <t>visual.html · 04.01B</t>
  </si>
  <si>
    <t>Gates of Heaven; Silk Road; Embrace in the Silence</t>
  </si>
  <si>
    <t>系列英文说明80–120词；每张作品补地点、年份、人物/场景背景与拍摄意图。</t>
  </si>
  <si>
    <t>3张JPG；Gates of Heaven及Embrace相关PDF</t>
  </si>
  <si>
    <t>更多同系列候选图；旅行背景说明；人物授权（如可识别）。</t>
  </si>
  <si>
    <t>核对地名英文拼写；避免暴露敏感个人信息。</t>
  </si>
  <si>
    <t>校园与日常 Campus &amp; Everyday Life</t>
  </si>
  <si>
    <t>visual.html · 04.01C</t>
  </si>
  <si>
    <t>Campus &amp; everyday life</t>
  </si>
  <si>
    <t>英文系列说明60–100词；每张作品补题名、年份、地点、场景故事。</t>
  </si>
  <si>
    <t>网页当前重复使用The beauty of prism与The path of blessing</t>
  </si>
  <si>
    <t>独立校园/日常作品4–8张；活动背景和图片说明。</t>
  </si>
  <si>
    <t>不建议与获奖摄影重复；优先选择能体现日常观察力的作品。</t>
  </si>
  <si>
    <t>当前图片重复</t>
  </si>
  <si>
    <t>纪录片 Documentary</t>
  </si>
  <si>
    <t>visual.html · 04.02</t>
  </si>
  <si>
    <t>[THE SUBJECT, CENTRAL QUESTION, YOUR ROLE, ETHICAL APPROACH, AND WHAT THE PROCESS REVEALED.]</t>
  </si>
  <si>
    <t>英文介绍180–260词：主题、中心问题、人物/社区、本人角色、制作过程、伦理处理、发现与反思。</t>
  </si>
  <si>
    <t>网页当前使用Volunteer Teaching照片3张</t>
  </si>
  <si>
    <t>影片文件/链接；海报；剧照6–10张；幕后照；导演阐述；字幕；Press kit PDF。</t>
  </si>
  <si>
    <t>视频建议1080p；提供英文字幕；确认人物肖像、音乐和场地版权。</t>
  </si>
  <si>
    <t>需确认纪录片是否与支教项目相关</t>
  </si>
  <si>
    <t>体育 Sports</t>
  </si>
  <si>
    <t>Figure Skating</t>
  </si>
  <si>
    <t>sports.html · 05.01</t>
  </si>
  <si>
    <t>[SKATING JOURNEY, TRAINING ROUTINE, COMPETITIONS, SETBACKS, AND DEVELOPMENT.]</t>
  </si>
  <si>
    <r>
      <rPr>
        <sz val="10"/>
        <color rgb="FF202936"/>
        <rFont val="宋体-简"/>
        <charset val="134"/>
      </rPr>
      <t>英文介绍</t>
    </r>
    <r>
      <rPr>
        <sz val="10"/>
        <color rgb="FF202936"/>
        <rFont val="Arial"/>
        <charset val="134"/>
      </rPr>
      <t>180–260</t>
    </r>
    <r>
      <rPr>
        <sz val="10"/>
        <color rgb="FF202936"/>
        <rFont val="宋体-简"/>
        <charset val="134"/>
      </rPr>
      <t>词：起始时间、训练频率、级别</t>
    </r>
    <r>
      <rPr>
        <sz val="10"/>
        <color rgb="FF202936"/>
        <rFont val="Arial"/>
        <charset val="134"/>
      </rPr>
      <t>/</t>
    </r>
    <r>
      <rPr>
        <sz val="10"/>
        <color rgb="FF202936"/>
        <rFont val="宋体-简"/>
        <charset val="134"/>
      </rPr>
      <t>比赛、挑战与挫折、关键突破、坚持带来的成长。</t>
    </r>
    <r>
      <rPr>
        <sz val="10"/>
        <color rgb="FF202936"/>
        <rFont val="Arial"/>
        <charset val="134"/>
      </rPr>
      <t xml:space="preserve">
I stepped onto the ice for the first time in 2012, and for most of the next decade, the rink was my second home. Before my injury, I trained four to five times a week, two to three hours each session.
Figure skating is a sport built on falling. Every new jump meant hundreds of failed attempts, bruises, and days when nothing seemed to improve. At my peak, I competed at the national level and placed seventh.
Then an injury ended my competitive career. Losing the sport I had built my childhood around was the hardest setback I have faced. But I did not leave the ice. I returned as an assistant coach, took on officiating, and volunteered at competitions across China, learning the sport from every side of the boards.</t>
    </r>
  </si>
  <si>
    <t>比赛照片7张；教学助理照片2张；3个视频；3篇媒体报道</t>
  </si>
  <si>
    <t>比赛成绩/证书；训练时间线；教练信息/推荐语（可选）；媒体英文摘要。</t>
  </si>
  <si>
    <t>列明比赛官方名称、日期、组别、名次；确认媒体链接长期可访问。</t>
  </si>
  <si>
    <t>大部分已有</t>
  </si>
  <si>
    <t>Soccer</t>
  </si>
  <si>
    <t>sports.html · 05.02</t>
  </si>
  <si>
    <t>[TEAM, POSITION, TRAINING, A MEMORABLE MATCH, AND WHAT THE SPORT TAUGHT YOU.]</t>
  </si>
  <si>
    <r>
      <rPr>
        <sz val="10"/>
        <color rgb="FF202936"/>
        <rFont val="宋体-简"/>
        <charset val="134"/>
      </rPr>
      <t>英文介绍</t>
    </r>
    <r>
      <rPr>
        <sz val="10"/>
        <color rgb="FF202936"/>
        <rFont val="Arial"/>
        <charset val="134"/>
      </rPr>
      <t>120–180</t>
    </r>
    <r>
      <rPr>
        <sz val="10"/>
        <color rgb="FF202936"/>
        <rFont val="宋体-简"/>
        <charset val="134"/>
      </rPr>
      <t>词：球队、位置、训练、代表比赛、个人</t>
    </r>
    <r>
      <rPr>
        <sz val="10"/>
        <color rgb="FF202936"/>
        <rFont val="Arial"/>
        <charset val="134"/>
      </rPr>
      <t>/</t>
    </r>
    <r>
      <rPr>
        <sz val="10"/>
        <color rgb="FF202936"/>
        <rFont val="宋体-简"/>
        <charset val="134"/>
      </rPr>
      <t xml:space="preserve">团队结果、从运动中学到的内容。
I play as a substitute forward for Cheshire Academy's girls varsity soccer team. Unlike many of my teammates, I never had formal training before high school. Everything I know about the game, I learned through our team's practices and matches.
That meant starting behind. My footwork was not the best on the field, and I had to work hard just to keep up. But I found my strength in the one skill that matters most for my position: finishing. When the ball reaches me near the goal, I can place my shot with precision. </t>
    </r>
  </si>
  <si>
    <t>soccer1–4（4张）</t>
  </si>
  <si>
    <t>球队合照；比赛视频；赛程/成绩；教练反馈；奖项或参赛证明。</t>
  </si>
  <si>
    <t>注明年份、赛事与本人位置；挑选能辨认本人的图片。</t>
  </si>
  <si>
    <t>Dancing</t>
  </si>
  <si>
    <t>sports.html · 05.03</t>
  </si>
  <si>
    <t>[JAZZ AND BALLET TRAINING, REHEARSAL PROCESS, AND PERFORMANCE EXPERIENCE.]</t>
  </si>
  <si>
    <r>
      <rPr>
        <sz val="10"/>
        <color rgb="FF202936"/>
        <rFont val="宋体-简"/>
        <charset val="134"/>
      </rPr>
      <t>英文介绍</t>
    </r>
    <r>
      <rPr>
        <sz val="10"/>
        <color rgb="FF202936"/>
        <rFont val="Arial"/>
        <charset val="134"/>
      </rPr>
      <t>120–180</t>
    </r>
    <r>
      <rPr>
        <sz val="10"/>
        <color rgb="FF202936"/>
        <rFont val="宋体-简"/>
        <charset val="134"/>
      </rPr>
      <t>词：舞种、学习年限、排练过程、演出经历、挑战、舞蹈对表达与纪律的影响。
I began studying ballet in 2012, and dance has been part of my life ever since. Alongside ballet, I trained in jazz for three years, which taught me a looser, more rhythmic way of moving.</t>
    </r>
  </si>
  <si>
    <t>dancing1.png；dancing2.png；dancing3.jpg</t>
  </si>
  <si>
    <t>演出视频；节目单；舞台照；培训/比赛证明；作品名称与本人角色。</t>
  </si>
  <si>
    <t>当前页面提示视频待补；注明舞种、演出名称、年份和场地。</t>
  </si>
  <si>
    <t>缺少舞蹈视频</t>
  </si>
  <si>
    <t>现有素材索引</t>
  </si>
  <si>
    <t>自动盘点 assets 目录，共 70 个文件。请在使用前确认版本、版权和公开权限。</t>
  </si>
  <si>
    <t>素材文件夹 / 对应项目</t>
  </si>
  <si>
    <t>文件名</t>
  </si>
  <si>
    <t>类型</t>
  </si>
  <si>
    <t>相对路径</t>
  </si>
  <si>
    <t>当前状态</t>
  </si>
  <si>
    <t>核对事项</t>
  </si>
  <si>
    <t>通用文件 Documents</t>
  </si>
  <si>
    <t>[RESEARCH-PAPER].pdf</t>
  </si>
  <si>
    <t>PDF</t>
  </si>
  <si>
    <t>assets/documents/[RESEARCH-PAPER].pdf</t>
  </si>
  <si>
    <t>已在素材目录</t>
  </si>
  <si>
    <t>请核对是否最终版本、是否可公开、是否需要英文说明</t>
  </si>
  <si>
    <t>assets/documents/resume.pdf</t>
  </si>
  <si>
    <t>student-representative-highlights</t>
  </si>
  <si>
    <t>Student Representative Speech-cover.jpg</t>
  </si>
  <si>
    <t>图片</t>
  </si>
  <si>
    <t>assets/home/student-representative-highlights/Student Representative Speech-cover.jpg</t>
  </si>
  <si>
    <t>student-representative-highlights-cover.jpg</t>
  </si>
  <si>
    <t>assets/home/student-representative-highlights/student-representative-highlights-cover.jpg</t>
  </si>
  <si>
    <t>student-representative-highlights.mp4</t>
  </si>
  <si>
    <t>视频</t>
  </si>
  <si>
    <t>assets/home/student-representative-highlights/student-representative-highlights.mp4</t>
  </si>
  <si>
    <t>Calligraphy Club1.jpg</t>
  </si>
  <si>
    <t>assets/leadership/Calligraphy Club/Calligraphy Club1.jpg</t>
  </si>
  <si>
    <t>Calligraphy Club2.jpg</t>
  </si>
  <si>
    <t>assets/leadership/Calligraphy Club/Calligraphy Club2.jpg</t>
  </si>
  <si>
    <t>Calligraphy Club3.jpg</t>
  </si>
  <si>
    <t>assets/leadership/Calligraphy Club/Calligraphy Club3.jpg</t>
  </si>
  <si>
    <t>Calligraphy Club4.JPG</t>
  </si>
  <si>
    <t>assets/leadership/Calligraphy Club/Calligraphy Club4.JPG</t>
  </si>
  <si>
    <t>Calligraphy work 1.jpg</t>
  </si>
  <si>
    <t>assets/leadership/Calligraphy Club/Calligraphy work 1.jpg</t>
  </si>
  <si>
    <t>Calligraphy work 2.jpg</t>
  </si>
  <si>
    <t>assets/leadership/Calligraphy Club/Calligraphy work 2.jpg</t>
  </si>
  <si>
    <t>Calligraphy work 3.jpg</t>
  </si>
  <si>
    <t>assets/leadership/Calligraphy Club/Calligraphy work 3.jpg</t>
  </si>
  <si>
    <t>Calligraphy work 4.jpg</t>
  </si>
  <si>
    <t>assets/leadership/Calligraphy Club/Calligraphy work 4.jpg</t>
  </si>
  <si>
    <t>Calligraphy work 5.jpg</t>
  </si>
  <si>
    <t>assets/leadership/Calligraphy Club/Calligraphy work 5.jpg</t>
  </si>
  <si>
    <t>Head Prefect.jpg</t>
  </si>
  <si>
    <t>assets/leadership/Head Prefect/Head Prefect.jpg</t>
  </si>
  <si>
    <t>Volunteer Teaching1.jpg</t>
  </si>
  <si>
    <t>assets/leadership/Volunteer Teaching/Volunteer Teaching1.jpg</t>
  </si>
  <si>
    <t>Volunteer Teaching2.jpg</t>
  </si>
  <si>
    <t>assets/leadership/Volunteer Teaching/Volunteer Teaching2.jpg</t>
  </si>
  <si>
    <t>Volunteer Teaching3.jpeg</t>
  </si>
  <si>
    <t>assets/leadership/Volunteer Teaching/Volunteer Teaching3.jpeg</t>
  </si>
  <si>
    <t>Writing Center Tutor1.jpg</t>
  </si>
  <si>
    <t>Writing Center Tutor2.jpg</t>
  </si>
  <si>
    <t>Writing Center Tutor3.jpg</t>
  </si>
  <si>
    <t>Writing Center Tutor4.JPG</t>
  </si>
  <si>
    <t>dancing</t>
  </si>
  <si>
    <t>dancing1.png</t>
  </si>
  <si>
    <t>assets/sports/dancing/dancing1.png</t>
  </si>
  <si>
    <t>dancing2.png</t>
  </si>
  <si>
    <t>assets/sports/dancing/dancing2.png</t>
  </si>
  <si>
    <t>dancing3.jpg</t>
  </si>
  <si>
    <t>assets/sports/dancing/dancing3.jpg</t>
  </si>
  <si>
    <t>fgure skating</t>
  </si>
  <si>
    <t>Figure skating competition interview.mp4</t>
  </si>
  <si>
    <t>assets/sports/fgure skating/Figure skating competition interview.mp4</t>
  </si>
  <si>
    <t>Skating Teaching Assistant.mp4</t>
  </si>
  <si>
    <t>assets/sports/fgure skating/Skating Teaching Assistant.mp4</t>
  </si>
  <si>
    <t>Skating Teaching Assistant1.jpg</t>
  </si>
  <si>
    <t>assets/sports/fgure skating/Skating Teaching Assistant1.jpg</t>
  </si>
  <si>
    <t>Skating Teaching Assistant2.jpg</t>
  </si>
  <si>
    <t>assets/sports/fgure skating/Skating Teaching Assistant2.jpg</t>
  </si>
  <si>
    <t>skating.mp4</t>
  </si>
  <si>
    <t>assets/sports/fgure skating/skating.mp4</t>
  </si>
  <si>
    <t>skating10.jpg</t>
  </si>
  <si>
    <t>assets/sports/fgure skating/skating10.jpg</t>
  </si>
  <si>
    <t>skating3.jpeg</t>
  </si>
  <si>
    <t>assets/sports/fgure skating/skating3.jpeg</t>
  </si>
  <si>
    <t>skating4.png</t>
  </si>
  <si>
    <t>assets/sports/fgure skating/skating4.png</t>
  </si>
  <si>
    <t>skating5.png</t>
  </si>
  <si>
    <t>assets/sports/fgure skating/skating5.png</t>
  </si>
  <si>
    <t>skating6.jpg</t>
  </si>
  <si>
    <t>assets/sports/fgure skating/skating6.jpg</t>
  </si>
  <si>
    <t>skating6.png</t>
  </si>
  <si>
    <t>assets/sports/fgure skating/skating6.png</t>
  </si>
  <si>
    <t>skating7.png</t>
  </si>
  <si>
    <t>assets/sports/fgure skating/skating7.png</t>
  </si>
  <si>
    <t>skating9.jpg</t>
  </si>
  <si>
    <t>assets/sports/fgure skating/skating9.jpg</t>
  </si>
  <si>
    <t>soccer</t>
  </si>
  <si>
    <t>soccer1.jpg</t>
  </si>
  <si>
    <t>assets/sports/soccer/soccer1.jpg</t>
  </si>
  <si>
    <t>soccer2.jpg</t>
  </si>
  <si>
    <t>assets/sports/soccer/soccer2.jpg</t>
  </si>
  <si>
    <t>soccer3.jpg</t>
  </si>
  <si>
    <t>assets/sports/soccer/soccer3.jpg</t>
  </si>
  <si>
    <t>soccer4.jpg</t>
  </si>
  <si>
    <t>assets/sports/soccer/soccer4.jpg</t>
  </si>
  <si>
    <t>surfing</t>
  </si>
  <si>
    <t>surfing1.jpg</t>
  </si>
  <si>
    <t>assets/sports/surfing/surfing1.jpg</t>
  </si>
  <si>
    <t>surfing2.jpg</t>
  </si>
  <si>
    <t>assets/sports/surfing/surfing2.jpg</t>
  </si>
  <si>
    <t>张曦月-全国铜奖.pdf</t>
  </si>
  <si>
    <t>assets/ventures/BPA/张曦月-全国铜奖.pdf</t>
  </si>
  <si>
    <t>BPA全球站参与证书.pdf</t>
  </si>
  <si>
    <t>assets/ventures/BPA/BPA全球站参与证书.pdf</t>
  </si>
  <si>
    <t>IMG_1268.JPG</t>
  </si>
  <si>
    <t>assets/ventures/BPA/IMG_1268.JPG</t>
  </si>
  <si>
    <t>IMG_1269.JPG</t>
  </si>
  <si>
    <t>assets/ventures/BPA/IMG_1269.JPG</t>
  </si>
  <si>
    <t>IMG_7479.HEIC</t>
  </si>
  <si>
    <t>assets/ventures/BPA/IMG_7479.HEIC</t>
  </si>
  <si>
    <t>IMG_7489.JPG</t>
  </si>
  <si>
    <t>assets/ventures/BPA/IMG_7489.JPG</t>
  </si>
  <si>
    <t>IMG_7510.PNG</t>
  </si>
  <si>
    <t>assets/ventures/BPA/IMG_7510.PNG</t>
  </si>
  <si>
    <t>campingclub.mp4</t>
  </si>
  <si>
    <t>assets/ventures/China Camping Club/campingclub.mp4</t>
  </si>
  <si>
    <t>campingclub.png</t>
  </si>
  <si>
    <t>assets/ventures/China Camping Club/campingclub.png</t>
  </si>
  <si>
    <t>campingclub2.png</t>
  </si>
  <si>
    <t>assets/ventures/China Camping Club/campingclub2.png</t>
  </si>
  <si>
    <t>Jingdezhen Health Bowl</t>
  </si>
  <si>
    <t>减肥碗.pdf</t>
  </si>
  <si>
    <t>assets/ventures/Jingdezhen Health Bowl/减肥碗.pdf</t>
  </si>
  <si>
    <t>bowls.png</t>
  </si>
  <si>
    <t>assets/ventures/Jingdezhen Health Bowl/bowls.png</t>
  </si>
  <si>
    <t>Porcelain portion-bowls .JPG</t>
  </si>
  <si>
    <t>assets/ventures/Jingdezhen Health Bowl/Porcelain portion-bowls .JPG</t>
  </si>
  <si>
    <t>SavorSlim Logo.jpg</t>
  </si>
  <si>
    <t>assets/ventures/Jingdezhen Health Bowl/SavorSlim Logo.jpg</t>
  </si>
  <si>
    <t>photography</t>
  </si>
  <si>
    <t>A rainbow suspended over the Grand Canyon.jpg</t>
  </si>
  <si>
    <t>assets/visual/photography/A rainbow suspended over the Grand Canyon.jpg</t>
  </si>
  <si>
    <t>A rainbow suspended over the Grand Canyon.pdf</t>
  </si>
  <si>
    <t>assets/visual/photography/A rainbow suspended over the Grand Canyon.pdf</t>
  </si>
  <si>
    <t>Embrace in the Silence.jpg</t>
  </si>
  <si>
    <t>assets/visual/photography/Embrace in the Silence.jpg</t>
  </si>
  <si>
    <t>Embrace in the Silence.pdf</t>
  </si>
  <si>
    <t>assets/visual/photography/Embrace in the Silence.pdf</t>
  </si>
  <si>
    <t>finalMatch_Gates of Heaven.pdf</t>
  </si>
  <si>
    <t>assets/visual/photography/finalMatch_Gates of Heaven.pdf</t>
  </si>
  <si>
    <t>finalMatchEmbrace in the Silence.pdf</t>
  </si>
  <si>
    <t>assets/visual/photography/finalMatchEmbrace in the Silence.pdf</t>
  </si>
  <si>
    <t>finalSocialPracticePdf_200202.pdf</t>
  </si>
  <si>
    <t>assets/visual/photography/finalSocialPracticePdf_200202.pdf</t>
  </si>
  <si>
    <t>Gates of Heaven.jpg</t>
  </si>
  <si>
    <t>assets/visual/photography/Gates of Heaven.jpg</t>
  </si>
  <si>
    <t>Gates of Heaven.pdf</t>
  </si>
  <si>
    <t>assets/visual/photography/Gates of Heaven.pdf</t>
  </si>
  <si>
    <t>Silk road.jpg</t>
  </si>
  <si>
    <t>assets/visual/photography/Silk road.jpg</t>
  </si>
  <si>
    <t>The beauty of prism.jpg</t>
  </si>
  <si>
    <t>assets/visual/photography/The beauty of prism.jpg</t>
  </si>
  <si>
    <t>The path of blessing.jpg</t>
  </si>
  <si>
    <t>assets/visual/photography/The path of blessing.jpg</t>
  </si>
  <si>
    <t>填写说明</t>
  </si>
  <si>
    <t>区域</t>
  </si>
  <si>
    <t>填写要求</t>
  </si>
  <si>
    <t>交付建议</t>
  </si>
  <si>
    <t>推荐命名</t>
  </si>
  <si>
    <t>示例</t>
  </si>
  <si>
    <t>内容负责人</t>
  </si>
  <si>
    <t>负责收集事实、起草或审核英文介绍的人。</t>
  </si>
  <si>
    <t>英文文案</t>
  </si>
  <si>
    <t>模块_子模块_EnglishCopy_v01.docx</t>
  </si>
  <si>
    <t>Leadership_HeadPrefect_EnglishCopy_v01.docx</t>
  </si>
  <si>
    <t>素材负责人</t>
  </si>
  <si>
    <t>负责查找、筛选、导出并确认素材授权的人。</t>
  </si>
  <si>
    <t>模块_子模块_序号_年份.jpg</t>
  </si>
  <si>
    <t>Sports_FigureSkating_01_2025.jpg</t>
  </si>
  <si>
    <t>高：直接影响网站主要页面或当前存在明显占位；中：已有基础但需补全；低：可后续优化。</t>
  </si>
  <si>
    <t>模块_子模块_内容_年份.mp4</t>
  </si>
  <si>
    <t>Home_StudentSpeech_Highlights_2026.mp4</t>
  </si>
  <si>
    <t>待补充、待确认、部分已有、大部分已有、已完成或不适用。</t>
  </si>
  <si>
    <t>字幕</t>
  </si>
  <si>
    <t>与视频同名_en.srt</t>
  </si>
  <si>
    <t>Home_StudentSpeech_Highlights_2026_en.srt</t>
  </si>
  <si>
    <t>英文内容</t>
  </si>
  <si>
    <t>请提供可核实的时间、地点、角色、行动、结果与反思；避免只写形容词。</t>
  </si>
  <si>
    <t>证明文件</t>
  </si>
  <si>
    <t>模块_子模块_证明类型_年份.pdf</t>
  </si>
  <si>
    <t>Ventures_BPA_AwardCertificate_2026.pdf</t>
  </si>
  <si>
    <t>优先原图，保留高分辨率；同时提供英文题名、年份、地点、人物和摄影者/版权信息。</t>
  </si>
  <si>
    <t>版本管理</t>
  </si>
  <si>
    <t>文件名末尾使用v01、v02；最终版标记FINAL</t>
  </si>
  <si>
    <t>Visual_Documentary_DirectorsNote_FINAL.docx</t>
  </si>
  <si>
    <t>建议1080p；提供英文标题、封面、字幕/逐字稿、时长和公开权限。</t>
  </si>
  <si>
    <t>证书、奖项、项目PDF如为中文，另提供官方英文名或100词以内英文摘要。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</si>
</sst>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8">
    <font>
      <sz val="11"/>
      <name val="Carlito"/>
      <charset val="134"/>
    </font>
    <font>
      <b/>
      <sz val="16"/>
      <color rgb="FF18212F"/>
      <name val="Arial"/>
      <charset val="134"/>
    </font>
    <font>
      <b/>
      <sz val="10"/>
      <color rgb="FFFFFFFF"/>
      <name val="Arial"/>
      <charset val="134"/>
    </font>
    <font>
      <sz val="10"/>
      <color rgb="FF202936"/>
      <name val="Arial"/>
      <charset val="134"/>
    </font>
    <font>
      <i/>
      <sz val="10"/>
      <color rgb="FF5B6472"/>
      <name val="Arial"/>
      <charset val="134"/>
    </font>
    <font>
      <b/>
      <sz val="11"/>
      <color rgb="FF18212F"/>
      <name val="Arial"/>
      <charset val="134"/>
    </font>
    <font>
      <sz val="10"/>
      <color rgb="FF202936"/>
      <name val="宋体-简"/>
      <charset val="134"/>
    </font>
    <font>
      <sz val="10"/>
      <color rgb="FF202936"/>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27364A"/>
        <bgColor indexed="64"/>
      </patternFill>
    </fill>
    <fill>
      <patternFill patternType="solid">
        <fgColor rgb="FFDDE7F2"/>
        <bgColor indexed="64"/>
      </patternFill>
    </fill>
    <fill>
      <patternFill patternType="solid">
        <fgColor rgb="FFFFF4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rgb="FFD9DEE6"/>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top/>
      <bottom style="thin">
        <color rgb="FFE3E7ED"/>
      </bottom>
      <diagonal/>
    </border>
    <border>
      <left/>
      <right/>
      <top/>
      <bottom style="thin">
        <color rgb="FFB8C0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6" borderId="7"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7" borderId="10" applyNumberFormat="0" applyAlignment="0" applyProtection="0">
      <alignment vertical="center"/>
    </xf>
    <xf numFmtId="0" fontId="18" fillId="8" borderId="11" applyNumberFormat="0" applyAlignment="0" applyProtection="0">
      <alignment vertical="center"/>
    </xf>
    <xf numFmtId="0" fontId="19" fillId="8" borderId="10" applyNumberFormat="0" applyAlignment="0" applyProtection="0">
      <alignment vertical="center"/>
    </xf>
    <xf numFmtId="0" fontId="20" fillId="9" borderId="12" applyNumberFormat="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0" fillId="0" borderId="0"/>
  </cellStyleXfs>
  <cellXfs count="27">
    <xf numFmtId="0" fontId="0" fillId="0" borderId="0" xfId="49"/>
    <xf numFmtId="0" fontId="1" fillId="0" borderId="0" xfId="49" applyNumberFormat="1" applyFont="1" applyFill="1" applyBorder="1"/>
    <xf numFmtId="0" fontId="2" fillId="2" borderId="0" xfId="49" applyNumberFormat="1" applyFont="1" applyFill="1" applyBorder="1" applyAlignment="1">
      <alignment horizontal="center" vertical="center"/>
    </xf>
    <xf numFmtId="0" fontId="3" fillId="0" borderId="0" xfId="49" applyNumberFormat="1" applyFont="1" applyFill="1" applyBorder="1" applyAlignment="1">
      <alignment vertical="top" wrapText="1"/>
    </xf>
    <xf numFmtId="0" fontId="3" fillId="0" borderId="1" xfId="49" applyNumberFormat="1" applyFont="1" applyFill="1" applyBorder="1" applyAlignment="1">
      <alignment vertical="top" wrapText="1"/>
    </xf>
    <xf numFmtId="0" fontId="4" fillId="0" borderId="0" xfId="49" applyNumberFormat="1" applyFont="1" applyFill="1" applyBorder="1"/>
    <xf numFmtId="0" fontId="2" fillId="2" borderId="2" xfId="49" applyNumberFormat="1" applyFont="1" applyFill="1" applyBorder="1" applyAlignment="1">
      <alignment horizontal="center" vertical="center" wrapText="1"/>
    </xf>
    <xf numFmtId="0" fontId="2" fillId="2" borderId="3" xfId="49" applyNumberFormat="1" applyFont="1" applyFill="1" applyBorder="1" applyAlignment="1">
      <alignment horizontal="center" vertical="center" wrapText="1"/>
    </xf>
    <xf numFmtId="0" fontId="2" fillId="2" borderId="4" xfId="49" applyNumberFormat="1" applyFont="1" applyFill="1" applyBorder="1" applyAlignment="1">
      <alignment horizontal="center" vertical="center" wrapText="1"/>
    </xf>
    <xf numFmtId="0" fontId="3" fillId="0" borderId="0" xfId="49" applyNumberFormat="1" applyFont="1" applyFill="1" applyBorder="1" applyAlignment="1">
      <alignment vertical="top"/>
    </xf>
    <xf numFmtId="0" fontId="3" fillId="0" borderId="5" xfId="49" applyNumberFormat="1" applyFont="1" applyFill="1" applyBorder="1" applyAlignment="1">
      <alignment vertical="top"/>
    </xf>
    <xf numFmtId="0" fontId="1" fillId="0" borderId="0" xfId="49" applyNumberFormat="1" applyFont="1" applyFill="1" applyBorder="1" applyAlignment="1">
      <alignment vertical="center"/>
    </xf>
    <xf numFmtId="0" fontId="0" fillId="0" borderId="6" xfId="49" applyNumberFormat="1" applyFont="1" applyFill="1" applyBorder="1"/>
    <xf numFmtId="0" fontId="2" fillId="3" borderId="0" xfId="49" applyNumberFormat="1" applyFont="1" applyFill="1" applyBorder="1" applyAlignment="1">
      <alignment vertical="center"/>
    </xf>
    <xf numFmtId="0" fontId="5" fillId="4" borderId="0" xfId="49" applyNumberFormat="1" applyFont="1" applyFill="1" applyBorder="1" applyAlignment="1">
      <alignment horizontal="center" vertical="center"/>
    </xf>
    <xf numFmtId="0" fontId="3" fillId="0" borderId="0" xfId="49" applyNumberFormat="1" applyFont="1" applyFill="1" applyBorder="1" applyAlignment="1">
      <alignment horizontal="center" vertical="top" wrapText="1"/>
    </xf>
    <xf numFmtId="0" fontId="6" fillId="0" borderId="0" xfId="49" applyNumberFormat="1" applyFont="1" applyFill="1" applyBorder="1" applyAlignment="1">
      <alignment vertical="top" wrapText="1"/>
    </xf>
    <xf numFmtId="0" fontId="3" fillId="5" borderId="0" xfId="49" applyNumberFormat="1" applyFont="1" applyFill="1" applyBorder="1" applyAlignment="1">
      <alignment horizontal="center" vertical="top" wrapText="1"/>
    </xf>
    <xf numFmtId="176" fontId="3" fillId="5" borderId="0" xfId="49" applyNumberFormat="1" applyFont="1" applyFill="1" applyBorder="1" applyAlignment="1">
      <alignment vertical="top" wrapText="1"/>
    </xf>
    <xf numFmtId="0" fontId="3" fillId="5" borderId="0" xfId="49" applyNumberFormat="1" applyFont="1" applyFill="1" applyBorder="1" applyAlignment="1">
      <alignment vertical="top" wrapText="1"/>
    </xf>
    <xf numFmtId="0" fontId="7" fillId="0" borderId="0" xfId="49" applyNumberFormat="1" applyFont="1" applyFill="1" applyBorder="1" applyAlignment="1">
      <alignment vertical="top" wrapText="1"/>
    </xf>
    <xf numFmtId="0" fontId="7" fillId="5" borderId="0" xfId="49" applyNumberFormat="1" applyFont="1" applyFill="1" applyBorder="1" applyAlignment="1">
      <alignment vertical="top" wrapText="1"/>
    </xf>
    <xf numFmtId="0" fontId="3" fillId="0" borderId="1" xfId="49" applyNumberFormat="1" applyFont="1" applyFill="1" applyBorder="1" applyAlignment="1">
      <alignment horizontal="center" vertical="top" wrapText="1"/>
    </xf>
    <xf numFmtId="0" fontId="6" fillId="0" borderId="1" xfId="49" applyNumberFormat="1" applyFont="1" applyFill="1" applyBorder="1" applyAlignment="1">
      <alignment vertical="top" wrapText="1"/>
    </xf>
    <xf numFmtId="0" fontId="3" fillId="5" borderId="1" xfId="49" applyNumberFormat="1" applyFont="1" applyFill="1" applyBorder="1" applyAlignment="1">
      <alignment horizontal="center" vertical="top" wrapText="1"/>
    </xf>
    <xf numFmtId="176" fontId="3" fillId="5" borderId="1" xfId="49" applyNumberFormat="1" applyFont="1" applyFill="1" applyBorder="1" applyAlignment="1">
      <alignment vertical="top" wrapText="1"/>
    </xf>
    <xf numFmtId="0" fontId="3" fillId="5" borderId="1"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b val="1"/>
        <color rgb="FFA61B1B"/>
      </font>
      <fill>
        <patternFill patternType="solid">
          <bgColor rgb="FFFADBD8"/>
        </patternFill>
      </fill>
    </dxf>
    <dxf>
      <font>
        <b val="1"/>
        <color rgb="FFB42318"/>
      </font>
      <fill>
        <patternFill patternType="solid">
          <bgColor rgb="FFFDE8E7"/>
        </patternFill>
      </fill>
    </dxf>
    <dxf>
      <font>
        <b val="1"/>
        <color rgb="FF9A4E00"/>
      </font>
      <fill>
        <patternFill patternType="solid">
          <bgColor rgb="FFFFF0D6"/>
        </patternFill>
      </fill>
    </dxf>
    <dxf>
      <font>
        <b val="1"/>
        <color rgb="FF1D6B3A"/>
      </font>
      <fill>
        <patternFill patternType="solid">
          <bgColor rgb="FFE5F4EA"/>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ContentMaterialChecklist" displayName="ContentMaterialChecklist" ref="A7:M33" totalsRowShown="0">
  <tableColumns count="13">
    <tableColumn id="1" name="序号"/>
    <tableColumn id="2" name="大模块"/>
    <tableColumn id="3" name="子模块"/>
    <tableColumn id="4" name="页面位置"/>
    <tableColumn id="5" name="现有英文介绍 / 占位提示"/>
    <tableColumn id="6" name="需要补充的英文内容清单"/>
    <tableColumn id="7" name="现有素材清单"/>
    <tableColumn id="8" name="建议补充素材清单"/>
    <tableColumn id="9" name="素材规格 / 注意事项"/>
    <tableColumn id="12" name="优先级"/>
    <tableColumn id="13" name="状态"/>
    <tableColumn id="14" name="截止日期"/>
    <tableColumn id="15" name="反馈 / 备注"/>
  </tableColumns>
  <tableStyleInfo name="TableStyleMedium2" showFirstColumn="0" showLastColumn="0" showRowStripes="1" showColumnStripes="0"/>
</table>
</file>

<file path=xl/tables/table2.xml><?xml version="1.0" encoding="utf-8"?>
<table xmlns="http://schemas.openxmlformats.org/spreadsheetml/2006/main" id="2" name="AssetInventory" displayName="AssetInventory" ref="A5:G75" totalsRowShown="0">
  <tableColumns count="7">
    <tableColumn id="1" name="大模块"/>
    <tableColumn id="2" name="素材文件夹 / 对应项目"/>
    <tableColumn id="3" name="文件名"/>
    <tableColumn id="4" name="类型"/>
    <tableColumn id="5" name="相对路径"/>
    <tableColumn id="6" name="当前状态"/>
    <tableColumn id="7" name="核对事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33"/>
  <sheetViews>
    <sheetView tabSelected="1" workbookViewId="0">
      <pane xSplit="3" ySplit="7" topLeftCell="D10" activePane="bottomRight" state="frozen"/>
      <selection/>
      <selection pane="topRight"/>
      <selection pane="bottomLeft"/>
      <selection pane="bottomRight" activeCell="E33" sqref="E33"/>
    </sheetView>
  </sheetViews>
  <sheetFormatPr defaultColWidth="9" defaultRowHeight="13.5"/>
  <cols>
    <col min="1" max="1" width="7" customWidth="1"/>
    <col min="2" max="2" width="9.06666666666667" customWidth="1"/>
    <col min="3" max="3" width="12.375" customWidth="1"/>
    <col min="4" max="4" width="20" customWidth="1"/>
    <col min="5" max="5" width="44" customWidth="1"/>
    <col min="6" max="6" width="50" customWidth="1"/>
    <col min="7" max="7" width="38" customWidth="1"/>
    <col min="8" max="8" width="42" customWidth="1"/>
    <col min="9" max="9" width="38" customWidth="1"/>
    <col min="10" max="10" width="10" customWidth="1"/>
    <col min="11" max="12" width="14" customWidth="1"/>
    <col min="13" max="13" width="24" customWidth="1"/>
  </cols>
  <sheetData>
    <row r="2" ht="20.6" spans="1:13">
      <c r="A2" s="11" t="s">
        <v>0</v>
      </c>
    </row>
    <row r="3" spans="1:13">
      <c r="A3" s="5" t="s">
        <v>1</v>
      </c>
    </row>
    <row r="4" spans="1:13">
      <c r="A4" s="12"/>
      <c r="B4" s="12"/>
      <c r="C4" s="12"/>
      <c r="D4" s="12"/>
      <c r="E4" s="12"/>
      <c r="F4" s="12"/>
      <c r="G4" s="12"/>
      <c r="H4" s="12"/>
      <c r="I4" s="12"/>
      <c r="J4" s="12"/>
      <c r="K4" s="12"/>
      <c r="L4" s="12"/>
      <c r="M4" s="12"/>
    </row>
    <row r="5" ht="13.85" spans="1:13">
      <c r="A5" s="13" t="s">
        <v>2</v>
      </c>
      <c r="B5" s="14">
        <v>26</v>
      </c>
      <c r="C5" s="13" t="s">
        <v>3</v>
      </c>
      <c r="D5" s="13">
        <f>COUNTIF(K8:K200,"待补充")+COUNTIF(K8:K200,"待确认")</f>
        <v>11</v>
      </c>
      <c r="E5" s="13" t="s">
        <v>4</v>
      </c>
      <c r="F5" s="13">
        <f>COUNTIF(K8:K200,"部分已有")+COUNTIF(K8:K200,"大部分已有")</f>
        <v>14</v>
      </c>
      <c r="G5" s="13" t="s">
        <v>5</v>
      </c>
      <c r="H5" s="13">
        <f>COUNTIF(J8:J200,"高")</f>
        <v>16</v>
      </c>
    </row>
    <row r="7" ht="34" customHeight="1" spans="1:13">
      <c r="A7" s="6" t="s">
        <v>6</v>
      </c>
      <c r="B7" s="7" t="s">
        <v>7</v>
      </c>
      <c r="C7" s="7" t="s">
        <v>8</v>
      </c>
      <c r="D7" s="7" t="s">
        <v>9</v>
      </c>
      <c r="E7" s="7" t="s">
        <v>10</v>
      </c>
      <c r="F7" s="7" t="s">
        <v>11</v>
      </c>
      <c r="G7" s="7" t="s">
        <v>12</v>
      </c>
      <c r="H7" s="7" t="s">
        <v>13</v>
      </c>
      <c r="I7" s="7" t="s">
        <v>14</v>
      </c>
      <c r="J7" s="7" t="s">
        <v>15</v>
      </c>
      <c r="K7" s="7" t="s">
        <v>16</v>
      </c>
      <c r="L7" s="7" t="s">
        <v>17</v>
      </c>
      <c r="M7" s="8" t="s">
        <v>18</v>
      </c>
    </row>
    <row r="8" ht="86" customHeight="1" spans="1:13">
      <c r="A8" s="15">
        <v>1</v>
      </c>
      <c r="B8" s="3" t="s">
        <v>19</v>
      </c>
      <c r="C8" s="3" t="s">
        <v>20</v>
      </c>
      <c r="D8" s="3" t="s">
        <v>21</v>
      </c>
      <c r="E8" s="3" t="s">
        <v>22</v>
      </c>
      <c r="F8" s="16" t="s">
        <v>23</v>
      </c>
      <c r="G8" s="3" t="s">
        <v>24</v>
      </c>
      <c r="H8" s="3" t="s">
        <v>25</v>
      </c>
      <c r="I8" s="3" t="s">
        <v>26</v>
      </c>
      <c r="J8" s="17" t="s">
        <v>27</v>
      </c>
      <c r="K8" s="17" t="s">
        <v>28</v>
      </c>
      <c r="L8" s="18" t="s">
        <v>29</v>
      </c>
      <c r="M8" s="19" t="s">
        <v>29</v>
      </c>
    </row>
    <row r="9" ht="86" customHeight="1" spans="1:13">
      <c r="A9" s="15">
        <v>2</v>
      </c>
      <c r="B9" s="3" t="s">
        <v>19</v>
      </c>
      <c r="C9" s="3" t="s">
        <v>30</v>
      </c>
      <c r="D9" s="3" t="s">
        <v>31</v>
      </c>
      <c r="E9" s="3" t="s">
        <v>32</v>
      </c>
      <c r="F9" s="3" t="s">
        <v>33</v>
      </c>
      <c r="G9" s="3" t="s">
        <v>34</v>
      </c>
      <c r="H9" s="3" t="s">
        <v>35</v>
      </c>
      <c r="I9" s="20" t="s">
        <v>36</v>
      </c>
      <c r="J9" s="17" t="s">
        <v>27</v>
      </c>
      <c r="K9" s="17" t="s">
        <v>28</v>
      </c>
      <c r="L9" s="18" t="s">
        <v>29</v>
      </c>
      <c r="M9" s="19" t="s">
        <v>29</v>
      </c>
    </row>
    <row r="10" ht="86" customHeight="1" spans="1:13">
      <c r="A10" s="15">
        <v>3</v>
      </c>
      <c r="B10" s="3" t="s">
        <v>19</v>
      </c>
      <c r="C10" s="3" t="s">
        <v>37</v>
      </c>
      <c r="D10" s="3" t="s">
        <v>31</v>
      </c>
      <c r="E10" s="3" t="s">
        <v>38</v>
      </c>
      <c r="F10" s="3" t="s">
        <v>39</v>
      </c>
      <c r="G10" s="3" t="s">
        <v>40</v>
      </c>
      <c r="H10" s="3" t="s">
        <v>41</v>
      </c>
      <c r="I10" s="3"/>
      <c r="J10" s="17" t="s">
        <v>27</v>
      </c>
      <c r="K10" s="17" t="s">
        <v>42</v>
      </c>
      <c r="L10" s="18" t="s">
        <v>29</v>
      </c>
      <c r="M10" s="19" t="s">
        <v>29</v>
      </c>
    </row>
    <row r="11" ht="86" customHeight="1" spans="1:13">
      <c r="A11" s="15">
        <v>4</v>
      </c>
      <c r="B11" s="3" t="s">
        <v>19</v>
      </c>
      <c r="C11" s="3" t="s">
        <v>43</v>
      </c>
      <c r="D11" s="3" t="s">
        <v>44</v>
      </c>
      <c r="E11" s="3" t="s">
        <v>45</v>
      </c>
      <c r="F11" s="16" t="s">
        <v>46</v>
      </c>
      <c r="G11" s="3" t="s">
        <v>47</v>
      </c>
      <c r="H11" s="3" t="s">
        <v>48</v>
      </c>
      <c r="I11" s="3" t="s">
        <v>49</v>
      </c>
      <c r="J11" s="17" t="s">
        <v>27</v>
      </c>
      <c r="K11" s="17" t="s">
        <v>50</v>
      </c>
      <c r="L11" s="18" t="s">
        <v>29</v>
      </c>
      <c r="M11" s="19" t="s">
        <v>29</v>
      </c>
    </row>
    <row r="12" ht="86" customHeight="1" spans="1:13">
      <c r="A12" s="15">
        <v>5</v>
      </c>
      <c r="B12" s="3" t="s">
        <v>51</v>
      </c>
      <c r="C12" s="3" t="s">
        <v>52</v>
      </c>
      <c r="D12" s="3" t="s">
        <v>53</v>
      </c>
      <c r="E12" s="3" t="s">
        <v>54</v>
      </c>
      <c r="F12" s="16" t="s">
        <v>55</v>
      </c>
      <c r="G12" s="3" t="s">
        <v>56</v>
      </c>
      <c r="H12" s="3" t="s">
        <v>57</v>
      </c>
      <c r="I12" s="3" t="s">
        <v>58</v>
      </c>
      <c r="J12" s="17" t="s">
        <v>27</v>
      </c>
      <c r="K12" s="17" t="s">
        <v>28</v>
      </c>
      <c r="L12" s="18" t="s">
        <v>29</v>
      </c>
      <c r="M12" s="19" t="s">
        <v>59</v>
      </c>
    </row>
    <row r="13" ht="86" customHeight="1" spans="1:13">
      <c r="A13" s="15">
        <v>6</v>
      </c>
      <c r="B13" s="3" t="s">
        <v>51</v>
      </c>
      <c r="C13" s="3" t="s">
        <v>60</v>
      </c>
      <c r="D13" s="3" t="s">
        <v>61</v>
      </c>
      <c r="E13" s="3" t="s">
        <v>62</v>
      </c>
      <c r="F13" s="16" t="s">
        <v>63</v>
      </c>
      <c r="G13" s="3" t="s">
        <v>64</v>
      </c>
      <c r="H13" s="3" t="s">
        <v>65</v>
      </c>
      <c r="I13" s="3" t="s">
        <v>66</v>
      </c>
      <c r="J13" s="17" t="s">
        <v>27</v>
      </c>
      <c r="K13" s="17" t="s">
        <v>42</v>
      </c>
      <c r="L13" s="18" t="s">
        <v>29</v>
      </c>
      <c r="M13" s="19" t="s">
        <v>29</v>
      </c>
    </row>
    <row r="14" ht="86" customHeight="1" spans="1:13">
      <c r="A14" s="15">
        <v>7</v>
      </c>
      <c r="B14" s="3" t="s">
        <v>51</v>
      </c>
      <c r="C14" s="3" t="s">
        <v>67</v>
      </c>
      <c r="D14" s="3" t="s">
        <v>68</v>
      </c>
      <c r="E14" s="3" t="s">
        <v>69</v>
      </c>
      <c r="F14" s="16" t="s">
        <v>70</v>
      </c>
      <c r="G14" s="3" t="s">
        <v>71</v>
      </c>
      <c r="H14" s="3" t="s">
        <v>72</v>
      </c>
      <c r="I14" s="3" t="s">
        <v>73</v>
      </c>
      <c r="J14" s="17" t="s">
        <v>74</v>
      </c>
      <c r="K14" s="17" t="s">
        <v>28</v>
      </c>
      <c r="L14" s="18" t="s">
        <v>29</v>
      </c>
      <c r="M14" s="19" t="s">
        <v>59</v>
      </c>
    </row>
    <row r="15" ht="86" customHeight="1" spans="1:13">
      <c r="A15" s="15">
        <v>8</v>
      </c>
      <c r="B15" s="3" t="s">
        <v>51</v>
      </c>
      <c r="C15" s="3" t="s">
        <v>75</v>
      </c>
      <c r="D15" s="3" t="s">
        <v>76</v>
      </c>
      <c r="E15" s="3" t="s">
        <v>77</v>
      </c>
      <c r="F15" s="16" t="s">
        <v>78</v>
      </c>
      <c r="G15" s="3" t="s">
        <v>79</v>
      </c>
      <c r="H15" s="3" t="s">
        <v>80</v>
      </c>
      <c r="I15" s="3" t="s">
        <v>81</v>
      </c>
      <c r="J15" s="17" t="s">
        <v>27</v>
      </c>
      <c r="K15" s="17" t="s">
        <v>42</v>
      </c>
      <c r="L15" s="18" t="s">
        <v>29</v>
      </c>
      <c r="M15" s="19" t="s">
        <v>29</v>
      </c>
    </row>
    <row r="16" ht="86" customHeight="1" spans="1:13">
      <c r="A16" s="15">
        <v>9</v>
      </c>
      <c r="B16" s="3" t="s">
        <v>51</v>
      </c>
      <c r="C16" s="3" t="s">
        <v>82</v>
      </c>
      <c r="D16" s="3" t="s">
        <v>83</v>
      </c>
      <c r="E16" s="3" t="s">
        <v>84</v>
      </c>
      <c r="F16" s="16" t="s">
        <v>85</v>
      </c>
      <c r="G16" s="3" t="s">
        <v>86</v>
      </c>
      <c r="H16" s="3" t="s">
        <v>87</v>
      </c>
      <c r="I16" s="3" t="s">
        <v>88</v>
      </c>
      <c r="J16" s="17" t="s">
        <v>74</v>
      </c>
      <c r="K16" s="17" t="s">
        <v>42</v>
      </c>
      <c r="L16" s="18" t="s">
        <v>29</v>
      </c>
      <c r="M16" s="19" t="s">
        <v>29</v>
      </c>
    </row>
    <row r="17" ht="86" customHeight="1" spans="1:13">
      <c r="A17" s="15">
        <v>10</v>
      </c>
      <c r="B17" s="3" t="s">
        <v>51</v>
      </c>
      <c r="C17" s="3" t="s">
        <v>89</v>
      </c>
      <c r="D17" s="3" t="s">
        <v>90</v>
      </c>
      <c r="E17" s="3" t="s">
        <v>91</v>
      </c>
      <c r="F17" s="16" t="s">
        <v>92</v>
      </c>
      <c r="G17" s="3" t="s">
        <v>93</v>
      </c>
      <c r="H17" s="3" t="s">
        <v>94</v>
      </c>
      <c r="I17" s="20" t="s">
        <v>95</v>
      </c>
      <c r="J17" s="17" t="s">
        <v>27</v>
      </c>
      <c r="K17" s="17" t="s">
        <v>28</v>
      </c>
      <c r="L17" s="18" t="s">
        <v>29</v>
      </c>
      <c r="M17" s="19" t="s">
        <v>59</v>
      </c>
    </row>
    <row r="18" ht="86" customHeight="1" spans="1:13">
      <c r="A18" s="15">
        <v>11</v>
      </c>
      <c r="B18" s="3" t="s">
        <v>96</v>
      </c>
      <c r="C18" s="3" t="s">
        <v>97</v>
      </c>
      <c r="D18" s="3" t="s">
        <v>98</v>
      </c>
      <c r="E18" s="3" t="s">
        <v>99</v>
      </c>
      <c r="F18" s="16" t="s">
        <v>100</v>
      </c>
      <c r="G18" s="3" t="s">
        <v>101</v>
      </c>
      <c r="H18" s="3" t="s">
        <v>102</v>
      </c>
      <c r="I18" s="20" t="s">
        <v>103</v>
      </c>
      <c r="J18" s="17" t="s">
        <v>27</v>
      </c>
      <c r="K18" s="17" t="s">
        <v>42</v>
      </c>
      <c r="L18" s="18" t="s">
        <v>29</v>
      </c>
      <c r="M18" s="19" t="s">
        <v>29</v>
      </c>
    </row>
    <row r="19" ht="86" customHeight="1" spans="1:13">
      <c r="A19" s="15">
        <v>12</v>
      </c>
      <c r="B19" s="3" t="s">
        <v>96</v>
      </c>
      <c r="C19" s="3" t="s">
        <v>104</v>
      </c>
      <c r="D19" s="3" t="s">
        <v>105</v>
      </c>
      <c r="E19" s="3" t="s">
        <v>106</v>
      </c>
      <c r="F19" s="16" t="s">
        <v>107</v>
      </c>
      <c r="G19" s="3" t="s">
        <v>108</v>
      </c>
      <c r="H19" s="3" t="s">
        <v>109</v>
      </c>
      <c r="I19" s="20" t="s">
        <v>110</v>
      </c>
      <c r="J19" s="17" t="s">
        <v>74</v>
      </c>
      <c r="K19" s="17" t="s">
        <v>28</v>
      </c>
      <c r="L19" s="18" t="s">
        <v>29</v>
      </c>
      <c r="M19" s="19" t="s">
        <v>111</v>
      </c>
    </row>
    <row r="20" ht="86" customHeight="1" spans="1:13">
      <c r="A20" s="15">
        <v>13</v>
      </c>
      <c r="B20" s="3" t="s">
        <v>96</v>
      </c>
      <c r="C20" s="3" t="s">
        <v>112</v>
      </c>
      <c r="D20" s="3" t="s">
        <v>113</v>
      </c>
      <c r="E20" s="3" t="s">
        <v>114</v>
      </c>
      <c r="F20" s="16" t="s">
        <v>115</v>
      </c>
      <c r="G20" s="3" t="s">
        <v>116</v>
      </c>
      <c r="H20" s="3" t="s">
        <v>117</v>
      </c>
      <c r="I20" s="20" t="s">
        <v>118</v>
      </c>
      <c r="J20" s="17" t="s">
        <v>74</v>
      </c>
      <c r="K20" s="17" t="s">
        <v>42</v>
      </c>
      <c r="L20" s="18" t="s">
        <v>29</v>
      </c>
      <c r="M20" s="19" t="s">
        <v>29</v>
      </c>
    </row>
    <row r="21" ht="86" customHeight="1" spans="1:13">
      <c r="A21" s="15">
        <v>14</v>
      </c>
      <c r="B21" s="3" t="s">
        <v>96</v>
      </c>
      <c r="C21" s="3" t="s">
        <v>119</v>
      </c>
      <c r="D21" s="3" t="s">
        <v>120</v>
      </c>
      <c r="E21" s="3" t="s">
        <v>121</v>
      </c>
      <c r="F21" s="16" t="s">
        <v>122</v>
      </c>
      <c r="G21" s="3" t="s">
        <v>123</v>
      </c>
      <c r="H21" s="3" t="s">
        <v>124</v>
      </c>
      <c r="I21" s="20" t="s">
        <v>125</v>
      </c>
      <c r="J21" s="17" t="s">
        <v>74</v>
      </c>
      <c r="K21" s="17" t="s">
        <v>42</v>
      </c>
      <c r="L21" s="18" t="s">
        <v>29</v>
      </c>
      <c r="M21" s="19" t="s">
        <v>29</v>
      </c>
    </row>
    <row r="22" ht="86" customHeight="1" spans="1:13">
      <c r="A22" s="15">
        <v>15</v>
      </c>
      <c r="B22" s="3" t="s">
        <v>96</v>
      </c>
      <c r="C22" s="3" t="s">
        <v>126</v>
      </c>
      <c r="D22" s="3" t="s">
        <v>127</v>
      </c>
      <c r="E22" s="3" t="s">
        <v>128</v>
      </c>
      <c r="F22" s="16" t="s">
        <v>129</v>
      </c>
      <c r="G22" s="3" t="s">
        <v>130</v>
      </c>
      <c r="H22" s="3" t="s">
        <v>131</v>
      </c>
      <c r="I22" s="20" t="s">
        <v>132</v>
      </c>
      <c r="J22" s="17" t="s">
        <v>27</v>
      </c>
      <c r="K22" s="17" t="s">
        <v>28</v>
      </c>
      <c r="L22" s="18" t="s">
        <v>29</v>
      </c>
      <c r="M22" s="19" t="s">
        <v>133</v>
      </c>
    </row>
    <row r="23" ht="86" customHeight="1" spans="1:13">
      <c r="A23" s="15">
        <v>16</v>
      </c>
      <c r="B23" s="3" t="s">
        <v>96</v>
      </c>
      <c r="C23" s="3" t="s">
        <v>134</v>
      </c>
      <c r="D23" s="3" t="s">
        <v>135</v>
      </c>
      <c r="E23" s="3" t="s">
        <v>136</v>
      </c>
      <c r="F23" s="16" t="s">
        <v>137</v>
      </c>
      <c r="G23" s="3" t="s">
        <v>138</v>
      </c>
      <c r="H23" s="3" t="s">
        <v>139</v>
      </c>
      <c r="I23" s="3" t="s">
        <v>140</v>
      </c>
      <c r="J23" s="17" t="s">
        <v>27</v>
      </c>
      <c r="K23" s="17" t="s">
        <v>42</v>
      </c>
      <c r="L23" s="18" t="s">
        <v>29</v>
      </c>
      <c r="M23" s="19" t="s">
        <v>29</v>
      </c>
    </row>
    <row r="24" ht="86" customHeight="1" spans="1:13">
      <c r="A24" s="15">
        <v>17</v>
      </c>
      <c r="B24" s="3" t="s">
        <v>96</v>
      </c>
      <c r="C24" s="3" t="s">
        <v>141</v>
      </c>
      <c r="D24" s="3" t="s">
        <v>142</v>
      </c>
      <c r="E24" s="3" t="s">
        <v>143</v>
      </c>
      <c r="F24" s="16" t="s">
        <v>144</v>
      </c>
      <c r="G24" s="3" t="s">
        <v>145</v>
      </c>
      <c r="H24" s="3" t="s">
        <v>146</v>
      </c>
      <c r="I24" s="3" t="s">
        <v>147</v>
      </c>
      <c r="J24" s="17" t="s">
        <v>74</v>
      </c>
      <c r="K24" s="17" t="s">
        <v>28</v>
      </c>
      <c r="L24" s="18" t="s">
        <v>29</v>
      </c>
      <c r="M24" s="21" t="s">
        <v>59</v>
      </c>
    </row>
    <row r="25" ht="86" customHeight="1" spans="1:13">
      <c r="A25" s="15">
        <v>18</v>
      </c>
      <c r="B25" s="3" t="s">
        <v>148</v>
      </c>
      <c r="C25" s="3" t="s">
        <v>149</v>
      </c>
      <c r="D25" s="3" t="s">
        <v>150</v>
      </c>
      <c r="E25" s="3" t="s">
        <v>151</v>
      </c>
      <c r="F25" s="16" t="s">
        <v>152</v>
      </c>
      <c r="G25" s="3" t="s">
        <v>153</v>
      </c>
      <c r="H25" s="3" t="s">
        <v>154</v>
      </c>
      <c r="I25" s="3" t="s">
        <v>155</v>
      </c>
      <c r="J25" s="17" t="s">
        <v>27</v>
      </c>
      <c r="K25" s="17" t="s">
        <v>42</v>
      </c>
      <c r="L25" s="18" t="s">
        <v>29</v>
      </c>
      <c r="M25" s="19" t="s">
        <v>29</v>
      </c>
    </row>
    <row r="26" ht="86" customHeight="1" spans="1:13">
      <c r="A26" s="15">
        <v>19</v>
      </c>
      <c r="B26" s="3" t="s">
        <v>148</v>
      </c>
      <c r="C26" s="3" t="s">
        <v>156</v>
      </c>
      <c r="D26" s="3" t="s">
        <v>157</v>
      </c>
      <c r="E26" s="3" t="s">
        <v>158</v>
      </c>
      <c r="F26" s="3" t="s">
        <v>159</v>
      </c>
      <c r="G26" s="3" t="s">
        <v>160</v>
      </c>
      <c r="H26" s="3" t="s">
        <v>161</v>
      </c>
      <c r="I26" s="3" t="s">
        <v>162</v>
      </c>
      <c r="J26" s="17" t="s">
        <v>27</v>
      </c>
      <c r="K26" s="17" t="s">
        <v>42</v>
      </c>
      <c r="L26" s="18" t="s">
        <v>29</v>
      </c>
      <c r="M26" s="19" t="s">
        <v>29</v>
      </c>
    </row>
    <row r="27" ht="86" customHeight="1" spans="1:13">
      <c r="A27" s="15">
        <v>20</v>
      </c>
      <c r="B27" s="3" t="s">
        <v>148</v>
      </c>
      <c r="C27" s="3" t="s">
        <v>163</v>
      </c>
      <c r="D27" s="3" t="s">
        <v>164</v>
      </c>
      <c r="E27" s="3" t="s">
        <v>165</v>
      </c>
      <c r="F27" s="3" t="s">
        <v>166</v>
      </c>
      <c r="G27" s="3" t="s">
        <v>167</v>
      </c>
      <c r="H27" s="3" t="s">
        <v>168</v>
      </c>
      <c r="I27" s="3" t="s">
        <v>169</v>
      </c>
      <c r="J27" s="17" t="s">
        <v>74</v>
      </c>
      <c r="K27" s="17" t="s">
        <v>42</v>
      </c>
      <c r="L27" s="18" t="s">
        <v>29</v>
      </c>
      <c r="M27" s="19" t="s">
        <v>29</v>
      </c>
    </row>
    <row r="28" ht="86" customHeight="1" spans="1:13">
      <c r="A28" s="15">
        <v>21</v>
      </c>
      <c r="B28" s="3" t="s">
        <v>148</v>
      </c>
      <c r="C28" s="3" t="s">
        <v>170</v>
      </c>
      <c r="D28" s="3" t="s">
        <v>171</v>
      </c>
      <c r="E28" s="3" t="s">
        <v>172</v>
      </c>
      <c r="F28" s="3" t="s">
        <v>173</v>
      </c>
      <c r="G28" s="3" t="s">
        <v>174</v>
      </c>
      <c r="H28" s="3" t="s">
        <v>175</v>
      </c>
      <c r="I28" s="3" t="s">
        <v>176</v>
      </c>
      <c r="J28" s="17" t="s">
        <v>74</v>
      </c>
      <c r="K28" s="17" t="s">
        <v>28</v>
      </c>
      <c r="L28" s="18" t="s">
        <v>29</v>
      </c>
      <c r="M28" s="19" t="s">
        <v>177</v>
      </c>
    </row>
    <row r="29" ht="86" customHeight="1" spans="1:13">
      <c r="A29" s="15">
        <v>22</v>
      </c>
      <c r="B29" s="3" t="s">
        <v>148</v>
      </c>
      <c r="C29" s="3" t="s">
        <v>178</v>
      </c>
      <c r="D29" s="3" t="s">
        <v>179</v>
      </c>
      <c r="E29" s="3" t="s">
        <v>180</v>
      </c>
      <c r="F29" s="3" t="s">
        <v>181</v>
      </c>
      <c r="G29" s="3" t="s">
        <v>182</v>
      </c>
      <c r="H29" s="3" t="s">
        <v>183</v>
      </c>
      <c r="I29" s="3" t="s">
        <v>184</v>
      </c>
      <c r="J29" s="17" t="s">
        <v>27</v>
      </c>
      <c r="K29" s="17" t="s">
        <v>28</v>
      </c>
      <c r="L29" s="18" t="s">
        <v>29</v>
      </c>
      <c r="M29" s="19" t="s">
        <v>185</v>
      </c>
    </row>
    <row r="30" ht="86" customHeight="1" spans="1:13">
      <c r="A30" s="15">
        <v>23</v>
      </c>
      <c r="B30" s="3" t="s">
        <v>186</v>
      </c>
      <c r="C30" s="3" t="s">
        <v>187</v>
      </c>
      <c r="D30" s="3" t="s">
        <v>188</v>
      </c>
      <c r="E30" s="3" t="s">
        <v>189</v>
      </c>
      <c r="F30" s="16" t="s">
        <v>190</v>
      </c>
      <c r="G30" s="3" t="s">
        <v>191</v>
      </c>
      <c r="H30" s="3" t="s">
        <v>192</v>
      </c>
      <c r="I30" s="3" t="s">
        <v>193</v>
      </c>
      <c r="J30" s="17" t="s">
        <v>27</v>
      </c>
      <c r="K30" s="17" t="s">
        <v>194</v>
      </c>
      <c r="L30" s="18" t="s">
        <v>29</v>
      </c>
      <c r="M30" s="19" t="s">
        <v>29</v>
      </c>
    </row>
    <row r="31" ht="86" customHeight="1" spans="1:13">
      <c r="A31" s="15"/>
      <c r="B31" s="3"/>
      <c r="C31" s="3"/>
      <c r="D31" s="3"/>
      <c r="E31" s="3"/>
      <c r="F31" s="3"/>
      <c r="G31" s="3"/>
      <c r="H31" s="3"/>
      <c r="I31" s="3"/>
      <c r="J31" s="17"/>
      <c r="K31" s="17"/>
      <c r="L31" s="18"/>
      <c r="M31" s="19"/>
    </row>
    <row r="32" ht="86" customHeight="1" spans="1:13">
      <c r="A32" s="15">
        <v>25</v>
      </c>
      <c r="B32" s="3" t="s">
        <v>186</v>
      </c>
      <c r="C32" s="3" t="s">
        <v>195</v>
      </c>
      <c r="D32" s="3" t="s">
        <v>196</v>
      </c>
      <c r="E32" s="3" t="s">
        <v>197</v>
      </c>
      <c r="F32" s="16" t="s">
        <v>198</v>
      </c>
      <c r="G32" s="3" t="s">
        <v>199</v>
      </c>
      <c r="H32" s="3" t="s">
        <v>200</v>
      </c>
      <c r="I32" s="3" t="s">
        <v>201</v>
      </c>
      <c r="J32" s="17" t="s">
        <v>74</v>
      </c>
      <c r="K32" s="17" t="s">
        <v>42</v>
      </c>
      <c r="L32" s="18" t="s">
        <v>29</v>
      </c>
      <c r="M32" s="19" t="s">
        <v>29</v>
      </c>
    </row>
    <row r="33" ht="86" customHeight="1" spans="1:13">
      <c r="A33" s="22">
        <v>26</v>
      </c>
      <c r="B33" s="4" t="s">
        <v>186</v>
      </c>
      <c r="C33" s="4" t="s">
        <v>202</v>
      </c>
      <c r="D33" s="4" t="s">
        <v>203</v>
      </c>
      <c r="E33" s="4" t="s">
        <v>204</v>
      </c>
      <c r="F33" s="23" t="s">
        <v>205</v>
      </c>
      <c r="G33" s="4" t="s">
        <v>206</v>
      </c>
      <c r="H33" s="4" t="s">
        <v>207</v>
      </c>
      <c r="I33" s="4" t="s">
        <v>208</v>
      </c>
      <c r="J33" s="24" t="s">
        <v>27</v>
      </c>
      <c r="K33" s="24" t="s">
        <v>42</v>
      </c>
      <c r="L33" s="25" t="s">
        <v>29</v>
      </c>
      <c r="M33" s="26" t="s">
        <v>209</v>
      </c>
    </row>
  </sheetData>
  <mergeCells count="2">
    <mergeCell ref="A2:M2"/>
    <mergeCell ref="A3:M3"/>
  </mergeCells>
  <conditionalFormatting sqref="J8:J33">
    <cfRule type="containsText" dxfId="0" priority="4" operator="between" text="高">
      <formula>NOT(ISERROR(SEARCH("高",J8)))</formula>
    </cfRule>
  </conditionalFormatting>
  <conditionalFormatting sqref="K8:K33">
    <cfRule type="containsText" dxfId="1" priority="1" operator="between" text="待补充">
      <formula>NOT(ISERROR(SEARCH("待补充",K8)))</formula>
    </cfRule>
    <cfRule type="containsText" dxfId="2" priority="2" operator="between" text="待确认">
      <formula>NOT(ISERROR(SEARCH("待确认",K8)))</formula>
    </cfRule>
    <cfRule type="containsText" dxfId="3" priority="3" operator="between" text="已完成">
      <formula>NOT(ISERROR(SEARCH("已完成",K8)))</formula>
    </cfRule>
  </conditionalFormatting>
  <dataValidations count="2">
    <dataValidation type="list" sqref="J8:J33">
      <formula1>"高,中,低"</formula1>
    </dataValidation>
    <dataValidation type="list" sqref="K8:K33">
      <formula1>"待补充,待确认,部分已有,大部分已有,已完成,不适用"</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75"/>
  <sheetViews>
    <sheetView workbookViewId="0">
      <pane xSplit="2" ySplit="5" topLeftCell="C6" activePane="bottomRight" state="frozen"/>
      <selection/>
      <selection pane="topRight"/>
      <selection pane="bottomLeft"/>
      <selection pane="bottomRight" activeCell="F12" sqref="F12"/>
    </sheetView>
  </sheetViews>
  <sheetFormatPr defaultColWidth="9" defaultRowHeight="13.5" outlineLevelCol="6"/>
  <cols>
    <col min="1" max="1" width="20" customWidth="1"/>
    <col min="2" max="2" width="28" customWidth="1"/>
    <col min="3" max="3" width="34" customWidth="1"/>
    <col min="4" max="4" width="12" customWidth="1"/>
    <col min="5" max="5" width="68" customWidth="1"/>
    <col min="6" max="6" width="16" customWidth="1"/>
    <col min="7" max="7" width="44" customWidth="1"/>
  </cols>
  <sheetData>
    <row r="2" ht="20.6" spans="1:7">
      <c r="A2" s="1" t="s">
        <v>210</v>
      </c>
    </row>
    <row r="3" spans="1:7">
      <c r="A3" s="5" t="s">
        <v>211</v>
      </c>
    </row>
    <row r="5" ht="32" customHeight="1" spans="1:7">
      <c r="A5" s="6" t="s">
        <v>7</v>
      </c>
      <c r="B5" s="7" t="s">
        <v>212</v>
      </c>
      <c r="C5" s="7" t="s">
        <v>213</v>
      </c>
      <c r="D5" s="7" t="s">
        <v>214</v>
      </c>
      <c r="E5" s="7" t="s">
        <v>215</v>
      </c>
      <c r="F5" s="7" t="s">
        <v>216</v>
      </c>
      <c r="G5" s="8" t="s">
        <v>217</v>
      </c>
    </row>
    <row r="6" spans="1:7">
      <c r="A6" s="9" t="s">
        <v>218</v>
      </c>
      <c r="B6" s="9" t="s">
        <v>219</v>
      </c>
      <c r="C6" s="9" t="s">
        <v>219</v>
      </c>
      <c r="D6" s="9" t="s">
        <v>220</v>
      </c>
      <c r="E6" s="9" t="s">
        <v>221</v>
      </c>
      <c r="F6" s="9" t="s">
        <v>222</v>
      </c>
      <c r="G6" s="9" t="s">
        <v>223</v>
      </c>
    </row>
    <row r="7" spans="1:7">
      <c r="A7" s="9" t="s">
        <v>218</v>
      </c>
      <c r="B7" s="9" t="s">
        <v>47</v>
      </c>
      <c r="C7" s="9" t="s">
        <v>47</v>
      </c>
      <c r="D7" s="9" t="s">
        <v>220</v>
      </c>
      <c r="E7" s="9" t="s">
        <v>224</v>
      </c>
      <c r="F7" s="9" t="s">
        <v>222</v>
      </c>
      <c r="G7" s="9" t="s">
        <v>223</v>
      </c>
    </row>
    <row r="8" spans="1:7">
      <c r="A8" s="9" t="s">
        <v>19</v>
      </c>
      <c r="B8" s="9" t="s">
        <v>225</v>
      </c>
      <c r="C8" s="9" t="s">
        <v>226</v>
      </c>
      <c r="D8" s="9" t="s">
        <v>227</v>
      </c>
      <c r="E8" s="9" t="s">
        <v>228</v>
      </c>
      <c r="F8" s="9" t="s">
        <v>222</v>
      </c>
      <c r="G8" s="9" t="s">
        <v>223</v>
      </c>
    </row>
    <row r="9" spans="1:7">
      <c r="A9" s="9" t="s">
        <v>19</v>
      </c>
      <c r="B9" s="9" t="s">
        <v>225</v>
      </c>
      <c r="C9" s="9" t="s">
        <v>229</v>
      </c>
      <c r="D9" s="9" t="s">
        <v>227</v>
      </c>
      <c r="E9" s="9" t="s">
        <v>230</v>
      </c>
      <c r="F9" s="9" t="s">
        <v>222</v>
      </c>
      <c r="G9" s="9" t="s">
        <v>223</v>
      </c>
    </row>
    <row r="10" spans="1:7">
      <c r="A10" s="9" t="s">
        <v>19</v>
      </c>
      <c r="B10" s="9" t="s">
        <v>225</v>
      </c>
      <c r="C10" s="9" t="s">
        <v>231</v>
      </c>
      <c r="D10" s="9" t="s">
        <v>232</v>
      </c>
      <c r="E10" s="9" t="s">
        <v>233</v>
      </c>
      <c r="F10" s="9" t="s">
        <v>222</v>
      </c>
      <c r="G10" s="9" t="s">
        <v>223</v>
      </c>
    </row>
    <row r="11" spans="1:7">
      <c r="A11" s="9" t="s">
        <v>96</v>
      </c>
      <c r="B11" s="9" t="s">
        <v>119</v>
      </c>
      <c r="C11" s="9" t="s">
        <v>234</v>
      </c>
      <c r="D11" s="9" t="s">
        <v>227</v>
      </c>
      <c r="E11" s="9" t="s">
        <v>235</v>
      </c>
      <c r="F11" s="9" t="s">
        <v>222</v>
      </c>
      <c r="G11" s="9" t="s">
        <v>223</v>
      </c>
    </row>
    <row r="12" spans="1:7">
      <c r="A12" s="9" t="s">
        <v>96</v>
      </c>
      <c r="B12" s="9" t="s">
        <v>119</v>
      </c>
      <c r="C12" s="9" t="s">
        <v>236</v>
      </c>
      <c r="D12" s="9" t="s">
        <v>227</v>
      </c>
      <c r="E12" s="9" t="s">
        <v>237</v>
      </c>
      <c r="F12" s="9" t="s">
        <v>222</v>
      </c>
      <c r="G12" s="9" t="s">
        <v>223</v>
      </c>
    </row>
    <row r="13" spans="1:7">
      <c r="A13" s="9" t="s">
        <v>96</v>
      </c>
      <c r="B13" s="9" t="s">
        <v>119</v>
      </c>
      <c r="C13" s="9" t="s">
        <v>238</v>
      </c>
      <c r="D13" s="9" t="s">
        <v>227</v>
      </c>
      <c r="E13" s="9" t="s">
        <v>239</v>
      </c>
      <c r="F13" s="9" t="s">
        <v>222</v>
      </c>
      <c r="G13" s="9" t="s">
        <v>223</v>
      </c>
    </row>
    <row r="14" spans="1:7">
      <c r="A14" s="9" t="s">
        <v>96</v>
      </c>
      <c r="B14" s="9" t="s">
        <v>119</v>
      </c>
      <c r="C14" s="9" t="s">
        <v>240</v>
      </c>
      <c r="D14" s="9" t="s">
        <v>227</v>
      </c>
      <c r="E14" s="9" t="s">
        <v>241</v>
      </c>
      <c r="F14" s="9" t="s">
        <v>222</v>
      </c>
      <c r="G14" s="9" t="s">
        <v>223</v>
      </c>
    </row>
    <row r="15" spans="1:7">
      <c r="A15" s="9" t="s">
        <v>96</v>
      </c>
      <c r="B15" s="9" t="s">
        <v>119</v>
      </c>
      <c r="C15" s="9" t="s">
        <v>242</v>
      </c>
      <c r="D15" s="9" t="s">
        <v>227</v>
      </c>
      <c r="E15" s="9" t="s">
        <v>243</v>
      </c>
      <c r="F15" s="9" t="s">
        <v>222</v>
      </c>
      <c r="G15" s="9" t="s">
        <v>223</v>
      </c>
    </row>
    <row r="16" spans="1:7">
      <c r="A16" s="9" t="s">
        <v>96</v>
      </c>
      <c r="B16" s="9" t="s">
        <v>119</v>
      </c>
      <c r="C16" s="9" t="s">
        <v>244</v>
      </c>
      <c r="D16" s="9" t="s">
        <v>227</v>
      </c>
      <c r="E16" s="9" t="s">
        <v>245</v>
      </c>
      <c r="F16" s="9" t="s">
        <v>222</v>
      </c>
      <c r="G16" s="9" t="s">
        <v>223</v>
      </c>
    </row>
    <row r="17" spans="1:7">
      <c r="A17" s="9" t="s">
        <v>96</v>
      </c>
      <c r="B17" s="9" t="s">
        <v>119</v>
      </c>
      <c r="C17" s="9" t="s">
        <v>246</v>
      </c>
      <c r="D17" s="9" t="s">
        <v>227</v>
      </c>
      <c r="E17" s="9" t="s">
        <v>247</v>
      </c>
      <c r="F17" s="9" t="s">
        <v>222</v>
      </c>
      <c r="G17" s="9" t="s">
        <v>223</v>
      </c>
    </row>
    <row r="18" spans="1:7">
      <c r="A18" s="9" t="s">
        <v>96</v>
      </c>
      <c r="B18" s="9" t="s">
        <v>119</v>
      </c>
      <c r="C18" s="9" t="s">
        <v>248</v>
      </c>
      <c r="D18" s="9" t="s">
        <v>227</v>
      </c>
      <c r="E18" s="9" t="s">
        <v>249</v>
      </c>
      <c r="F18" s="9" t="s">
        <v>222</v>
      </c>
      <c r="G18" s="9" t="s">
        <v>223</v>
      </c>
    </row>
    <row r="19" spans="1:7">
      <c r="A19" s="9" t="s">
        <v>96</v>
      </c>
      <c r="B19" s="9" t="s">
        <v>119</v>
      </c>
      <c r="C19" s="9" t="s">
        <v>250</v>
      </c>
      <c r="D19" s="9" t="s">
        <v>227</v>
      </c>
      <c r="E19" s="9" t="s">
        <v>251</v>
      </c>
      <c r="F19" s="9" t="s">
        <v>222</v>
      </c>
      <c r="G19" s="9" t="s">
        <v>223</v>
      </c>
    </row>
    <row r="20" spans="1:7">
      <c r="A20" s="9" t="s">
        <v>96</v>
      </c>
      <c r="B20" s="9" t="s">
        <v>97</v>
      </c>
      <c r="C20" s="9" t="s">
        <v>252</v>
      </c>
      <c r="D20" s="9" t="s">
        <v>227</v>
      </c>
      <c r="E20" s="9" t="s">
        <v>253</v>
      </c>
      <c r="F20" s="9" t="s">
        <v>222</v>
      </c>
      <c r="G20" s="9" t="s">
        <v>223</v>
      </c>
    </row>
    <row r="21" spans="1:7">
      <c r="A21" s="9" t="s">
        <v>96</v>
      </c>
      <c r="B21" s="9" t="s">
        <v>134</v>
      </c>
      <c r="C21" s="9" t="s">
        <v>254</v>
      </c>
      <c r="D21" s="9" t="s">
        <v>227</v>
      </c>
      <c r="E21" s="9" t="s">
        <v>255</v>
      </c>
      <c r="F21" s="9" t="s">
        <v>222</v>
      </c>
      <c r="G21" s="9" t="s">
        <v>223</v>
      </c>
    </row>
    <row r="22" spans="1:7">
      <c r="A22" s="9" t="s">
        <v>96</v>
      </c>
      <c r="B22" s="9" t="s">
        <v>134</v>
      </c>
      <c r="C22" s="9" t="s">
        <v>256</v>
      </c>
      <c r="D22" s="9" t="s">
        <v>227</v>
      </c>
      <c r="E22" s="9" t="s">
        <v>257</v>
      </c>
      <c r="F22" s="9" t="s">
        <v>222</v>
      </c>
      <c r="G22" s="9" t="s">
        <v>223</v>
      </c>
    </row>
    <row r="23" spans="1:7">
      <c r="A23" s="9" t="s">
        <v>96</v>
      </c>
      <c r="B23" s="9" t="s">
        <v>134</v>
      </c>
      <c r="C23" s="9" t="s">
        <v>258</v>
      </c>
      <c r="D23" s="9" t="s">
        <v>227</v>
      </c>
      <c r="E23" s="9" t="s">
        <v>259</v>
      </c>
      <c r="F23" s="9" t="s">
        <v>222</v>
      </c>
      <c r="G23" s="9" t="s">
        <v>223</v>
      </c>
    </row>
    <row r="24" spans="1:7">
      <c r="A24" s="9" t="s">
        <v>96</v>
      </c>
      <c r="B24" s="9" t="s">
        <v>112</v>
      </c>
      <c r="C24" s="9" t="s">
        <v>260</v>
      </c>
      <c r="D24" s="9" t="s">
        <v>227</v>
      </c>
      <c r="E24" s="9"/>
      <c r="F24" s="9" t="s">
        <v>222</v>
      </c>
      <c r="G24" s="9" t="s">
        <v>223</v>
      </c>
    </row>
    <row r="25" spans="1:7">
      <c r="A25" s="9" t="s">
        <v>96</v>
      </c>
      <c r="B25" s="9" t="s">
        <v>112</v>
      </c>
      <c r="C25" s="9" t="s">
        <v>261</v>
      </c>
      <c r="D25" s="9" t="s">
        <v>227</v>
      </c>
      <c r="E25" s="9"/>
      <c r="F25" s="9" t="s">
        <v>222</v>
      </c>
      <c r="G25" s="9" t="s">
        <v>223</v>
      </c>
    </row>
    <row r="26" spans="1:7">
      <c r="A26" s="9" t="s">
        <v>96</v>
      </c>
      <c r="B26" s="9" t="s">
        <v>112</v>
      </c>
      <c r="C26" s="9" t="s">
        <v>262</v>
      </c>
      <c r="D26" s="9" t="s">
        <v>227</v>
      </c>
      <c r="E26" s="9"/>
      <c r="F26" s="9" t="s">
        <v>222</v>
      </c>
      <c r="G26" s="9" t="s">
        <v>223</v>
      </c>
    </row>
    <row r="27" spans="1:7">
      <c r="A27" s="9" t="s">
        <v>96</v>
      </c>
      <c r="B27" s="9" t="s">
        <v>112</v>
      </c>
      <c r="C27" s="9" t="s">
        <v>263</v>
      </c>
      <c r="D27" s="9" t="s">
        <v>227</v>
      </c>
      <c r="E27" s="9"/>
      <c r="F27" s="9" t="s">
        <v>222</v>
      </c>
      <c r="G27" s="9" t="s">
        <v>223</v>
      </c>
    </row>
    <row r="28" spans="1:7">
      <c r="A28" s="9" t="s">
        <v>186</v>
      </c>
      <c r="B28" s="9" t="s">
        <v>264</v>
      </c>
      <c r="C28" s="9" t="s">
        <v>265</v>
      </c>
      <c r="D28" s="9" t="s">
        <v>227</v>
      </c>
      <c r="E28" s="9" t="s">
        <v>266</v>
      </c>
      <c r="F28" s="9" t="s">
        <v>222</v>
      </c>
      <c r="G28" s="9" t="s">
        <v>223</v>
      </c>
    </row>
    <row r="29" spans="1:7">
      <c r="A29" s="9" t="s">
        <v>186</v>
      </c>
      <c r="B29" s="9" t="s">
        <v>264</v>
      </c>
      <c r="C29" s="9" t="s">
        <v>267</v>
      </c>
      <c r="D29" s="9" t="s">
        <v>227</v>
      </c>
      <c r="E29" s="9" t="s">
        <v>268</v>
      </c>
      <c r="F29" s="9" t="s">
        <v>222</v>
      </c>
      <c r="G29" s="9" t="s">
        <v>223</v>
      </c>
    </row>
    <row r="30" spans="1:7">
      <c r="A30" s="9" t="s">
        <v>186</v>
      </c>
      <c r="B30" s="9" t="s">
        <v>264</v>
      </c>
      <c r="C30" s="9" t="s">
        <v>269</v>
      </c>
      <c r="D30" s="9" t="s">
        <v>227</v>
      </c>
      <c r="E30" s="9" t="s">
        <v>270</v>
      </c>
      <c r="F30" s="9" t="s">
        <v>222</v>
      </c>
      <c r="G30" s="9" t="s">
        <v>223</v>
      </c>
    </row>
    <row r="31" spans="1:7">
      <c r="A31" s="9" t="s">
        <v>186</v>
      </c>
      <c r="B31" s="9" t="s">
        <v>271</v>
      </c>
      <c r="C31" s="9" t="s">
        <v>272</v>
      </c>
      <c r="D31" s="9" t="s">
        <v>232</v>
      </c>
      <c r="E31" s="9" t="s">
        <v>273</v>
      </c>
      <c r="F31" s="9" t="s">
        <v>222</v>
      </c>
      <c r="G31" s="9" t="s">
        <v>223</v>
      </c>
    </row>
    <row r="32" spans="1:7">
      <c r="A32" s="9" t="s">
        <v>186</v>
      </c>
      <c r="B32" s="9" t="s">
        <v>271</v>
      </c>
      <c r="C32" s="9" t="s">
        <v>274</v>
      </c>
      <c r="D32" s="9" t="s">
        <v>232</v>
      </c>
      <c r="E32" s="9" t="s">
        <v>275</v>
      </c>
      <c r="F32" s="9" t="s">
        <v>222</v>
      </c>
      <c r="G32" s="9" t="s">
        <v>223</v>
      </c>
    </row>
    <row r="33" spans="1:7">
      <c r="A33" s="9" t="s">
        <v>186</v>
      </c>
      <c r="B33" s="9" t="s">
        <v>271</v>
      </c>
      <c r="C33" s="9" t="s">
        <v>276</v>
      </c>
      <c r="D33" s="9" t="s">
        <v>227</v>
      </c>
      <c r="E33" s="9" t="s">
        <v>277</v>
      </c>
      <c r="F33" s="9" t="s">
        <v>222</v>
      </c>
      <c r="G33" s="9" t="s">
        <v>223</v>
      </c>
    </row>
    <row r="34" spans="1:7">
      <c r="A34" s="9" t="s">
        <v>186</v>
      </c>
      <c r="B34" s="9" t="s">
        <v>271</v>
      </c>
      <c r="C34" s="9" t="s">
        <v>278</v>
      </c>
      <c r="D34" s="9" t="s">
        <v>227</v>
      </c>
      <c r="E34" s="9" t="s">
        <v>279</v>
      </c>
      <c r="F34" s="9" t="s">
        <v>222</v>
      </c>
      <c r="G34" s="9" t="s">
        <v>223</v>
      </c>
    </row>
    <row r="35" spans="1:7">
      <c r="A35" s="9" t="s">
        <v>186</v>
      </c>
      <c r="B35" s="9" t="s">
        <v>271</v>
      </c>
      <c r="C35" s="9" t="s">
        <v>280</v>
      </c>
      <c r="D35" s="9" t="s">
        <v>232</v>
      </c>
      <c r="E35" s="9" t="s">
        <v>281</v>
      </c>
      <c r="F35" s="9" t="s">
        <v>222</v>
      </c>
      <c r="G35" s="9" t="s">
        <v>223</v>
      </c>
    </row>
    <row r="36" spans="1:7">
      <c r="A36" s="9" t="s">
        <v>186</v>
      </c>
      <c r="B36" s="9" t="s">
        <v>271</v>
      </c>
      <c r="C36" s="9" t="s">
        <v>282</v>
      </c>
      <c r="D36" s="9" t="s">
        <v>227</v>
      </c>
      <c r="E36" s="9" t="s">
        <v>283</v>
      </c>
      <c r="F36" s="9" t="s">
        <v>222</v>
      </c>
      <c r="G36" s="9" t="s">
        <v>223</v>
      </c>
    </row>
    <row r="37" spans="1:7">
      <c r="A37" s="9" t="s">
        <v>186</v>
      </c>
      <c r="B37" s="9" t="s">
        <v>271</v>
      </c>
      <c r="C37" s="9" t="s">
        <v>284</v>
      </c>
      <c r="D37" s="9" t="s">
        <v>227</v>
      </c>
      <c r="E37" s="9" t="s">
        <v>285</v>
      </c>
      <c r="F37" s="9" t="s">
        <v>222</v>
      </c>
      <c r="G37" s="9" t="s">
        <v>223</v>
      </c>
    </row>
    <row r="38" spans="1:7">
      <c r="A38" s="9" t="s">
        <v>186</v>
      </c>
      <c r="B38" s="9" t="s">
        <v>271</v>
      </c>
      <c r="C38" s="9" t="s">
        <v>286</v>
      </c>
      <c r="D38" s="9" t="s">
        <v>227</v>
      </c>
      <c r="E38" s="9" t="s">
        <v>287</v>
      </c>
      <c r="F38" s="9" t="s">
        <v>222</v>
      </c>
      <c r="G38" s="9" t="s">
        <v>223</v>
      </c>
    </row>
    <row r="39" spans="1:7">
      <c r="A39" s="9" t="s">
        <v>186</v>
      </c>
      <c r="B39" s="9" t="s">
        <v>271</v>
      </c>
      <c r="C39" s="9" t="s">
        <v>288</v>
      </c>
      <c r="D39" s="9" t="s">
        <v>227</v>
      </c>
      <c r="E39" s="9" t="s">
        <v>289</v>
      </c>
      <c r="F39" s="9" t="s">
        <v>222</v>
      </c>
      <c r="G39" s="9" t="s">
        <v>223</v>
      </c>
    </row>
    <row r="40" spans="1:7">
      <c r="A40" s="9" t="s">
        <v>186</v>
      </c>
      <c r="B40" s="9" t="s">
        <v>271</v>
      </c>
      <c r="C40" s="9" t="s">
        <v>290</v>
      </c>
      <c r="D40" s="9" t="s">
        <v>227</v>
      </c>
      <c r="E40" s="9" t="s">
        <v>291</v>
      </c>
      <c r="F40" s="9" t="s">
        <v>222</v>
      </c>
      <c r="G40" s="9" t="s">
        <v>223</v>
      </c>
    </row>
    <row r="41" spans="1:7">
      <c r="A41" s="9" t="s">
        <v>186</v>
      </c>
      <c r="B41" s="9" t="s">
        <v>271</v>
      </c>
      <c r="C41" s="9" t="s">
        <v>292</v>
      </c>
      <c r="D41" s="9" t="s">
        <v>227</v>
      </c>
      <c r="E41" s="9" t="s">
        <v>293</v>
      </c>
      <c r="F41" s="9" t="s">
        <v>222</v>
      </c>
      <c r="G41" s="9" t="s">
        <v>223</v>
      </c>
    </row>
    <row r="42" spans="1:7">
      <c r="A42" s="9" t="s">
        <v>186</v>
      </c>
      <c r="B42" s="9" t="s">
        <v>271</v>
      </c>
      <c r="C42" s="9" t="s">
        <v>294</v>
      </c>
      <c r="D42" s="9" t="s">
        <v>227</v>
      </c>
      <c r="E42" s="9" t="s">
        <v>295</v>
      </c>
      <c r="F42" s="9" t="s">
        <v>222</v>
      </c>
      <c r="G42" s="9" t="s">
        <v>223</v>
      </c>
    </row>
    <row r="43" spans="1:7">
      <c r="A43" s="9" t="s">
        <v>186</v>
      </c>
      <c r="B43" s="9" t="s">
        <v>271</v>
      </c>
      <c r="C43" s="9" t="s">
        <v>296</v>
      </c>
      <c r="D43" s="9" t="s">
        <v>227</v>
      </c>
      <c r="E43" s="9" t="s">
        <v>297</v>
      </c>
      <c r="F43" s="9" t="s">
        <v>222</v>
      </c>
      <c r="G43" s="9" t="s">
        <v>223</v>
      </c>
    </row>
    <row r="44" spans="1:7">
      <c r="A44" s="9" t="s">
        <v>186</v>
      </c>
      <c r="B44" s="9" t="s">
        <v>298</v>
      </c>
      <c r="C44" s="9" t="s">
        <v>299</v>
      </c>
      <c r="D44" s="9" t="s">
        <v>227</v>
      </c>
      <c r="E44" s="9" t="s">
        <v>300</v>
      </c>
      <c r="F44" s="9" t="s">
        <v>222</v>
      </c>
      <c r="G44" s="9" t="s">
        <v>223</v>
      </c>
    </row>
    <row r="45" spans="1:7">
      <c r="A45" s="9" t="s">
        <v>186</v>
      </c>
      <c r="B45" s="9" t="s">
        <v>298</v>
      </c>
      <c r="C45" s="9" t="s">
        <v>301</v>
      </c>
      <c r="D45" s="9" t="s">
        <v>227</v>
      </c>
      <c r="E45" s="9" t="s">
        <v>302</v>
      </c>
      <c r="F45" s="9" t="s">
        <v>222</v>
      </c>
      <c r="G45" s="9" t="s">
        <v>223</v>
      </c>
    </row>
    <row r="46" spans="1:7">
      <c r="A46" s="9" t="s">
        <v>186</v>
      </c>
      <c r="B46" s="9" t="s">
        <v>298</v>
      </c>
      <c r="C46" s="9" t="s">
        <v>303</v>
      </c>
      <c r="D46" s="9" t="s">
        <v>227</v>
      </c>
      <c r="E46" s="9" t="s">
        <v>304</v>
      </c>
      <c r="F46" s="9" t="s">
        <v>222</v>
      </c>
      <c r="G46" s="9" t="s">
        <v>223</v>
      </c>
    </row>
    <row r="47" spans="1:7">
      <c r="A47" s="9" t="s">
        <v>186</v>
      </c>
      <c r="B47" s="9" t="s">
        <v>298</v>
      </c>
      <c r="C47" s="9" t="s">
        <v>305</v>
      </c>
      <c r="D47" s="9" t="s">
        <v>227</v>
      </c>
      <c r="E47" s="9" t="s">
        <v>306</v>
      </c>
      <c r="F47" s="9" t="s">
        <v>222</v>
      </c>
      <c r="G47" s="9" t="s">
        <v>223</v>
      </c>
    </row>
    <row r="48" spans="1:7">
      <c r="A48" s="9" t="s">
        <v>186</v>
      </c>
      <c r="B48" s="9" t="s">
        <v>307</v>
      </c>
      <c r="C48" s="9" t="s">
        <v>308</v>
      </c>
      <c r="D48" s="9" t="s">
        <v>227</v>
      </c>
      <c r="E48" s="9" t="s">
        <v>309</v>
      </c>
      <c r="F48" s="9" t="s">
        <v>222</v>
      </c>
      <c r="G48" s="9" t="s">
        <v>223</v>
      </c>
    </row>
    <row r="49" spans="1:7">
      <c r="A49" s="9" t="s">
        <v>186</v>
      </c>
      <c r="B49" s="9" t="s">
        <v>307</v>
      </c>
      <c r="C49" s="9" t="s">
        <v>310</v>
      </c>
      <c r="D49" s="9" t="s">
        <v>227</v>
      </c>
      <c r="E49" s="9" t="s">
        <v>311</v>
      </c>
      <c r="F49" s="9" t="s">
        <v>222</v>
      </c>
      <c r="G49" s="9" t="s">
        <v>223</v>
      </c>
    </row>
    <row r="50" spans="1:7">
      <c r="A50" s="9" t="s">
        <v>51</v>
      </c>
      <c r="B50" s="9" t="s">
        <v>75</v>
      </c>
      <c r="C50" s="9" t="s">
        <v>312</v>
      </c>
      <c r="D50" s="9" t="s">
        <v>220</v>
      </c>
      <c r="E50" s="9" t="s">
        <v>313</v>
      </c>
      <c r="F50" s="9" t="s">
        <v>222</v>
      </c>
      <c r="G50" s="9" t="s">
        <v>223</v>
      </c>
    </row>
    <row r="51" spans="1:7">
      <c r="A51" s="9" t="s">
        <v>51</v>
      </c>
      <c r="B51" s="9" t="s">
        <v>75</v>
      </c>
      <c r="C51" s="9" t="s">
        <v>314</v>
      </c>
      <c r="D51" s="9" t="s">
        <v>220</v>
      </c>
      <c r="E51" s="9" t="s">
        <v>315</v>
      </c>
      <c r="F51" s="9" t="s">
        <v>222</v>
      </c>
      <c r="G51" s="9" t="s">
        <v>223</v>
      </c>
    </row>
    <row r="52" spans="1:7">
      <c r="A52" s="9" t="s">
        <v>51</v>
      </c>
      <c r="B52" s="9" t="s">
        <v>75</v>
      </c>
      <c r="C52" s="9" t="s">
        <v>316</v>
      </c>
      <c r="D52" s="9" t="s">
        <v>227</v>
      </c>
      <c r="E52" s="9" t="s">
        <v>317</v>
      </c>
      <c r="F52" s="9" t="s">
        <v>222</v>
      </c>
      <c r="G52" s="9" t="s">
        <v>223</v>
      </c>
    </row>
    <row r="53" spans="1:7">
      <c r="A53" s="9" t="s">
        <v>51</v>
      </c>
      <c r="B53" s="9" t="s">
        <v>75</v>
      </c>
      <c r="C53" s="9" t="s">
        <v>318</v>
      </c>
      <c r="D53" s="9" t="s">
        <v>227</v>
      </c>
      <c r="E53" s="9" t="s">
        <v>319</v>
      </c>
      <c r="F53" s="9" t="s">
        <v>222</v>
      </c>
      <c r="G53" s="9" t="s">
        <v>223</v>
      </c>
    </row>
    <row r="54" spans="1:7">
      <c r="A54" s="9" t="s">
        <v>51</v>
      </c>
      <c r="B54" s="9" t="s">
        <v>75</v>
      </c>
      <c r="C54" s="9" t="s">
        <v>320</v>
      </c>
      <c r="D54" s="9" t="s">
        <v>227</v>
      </c>
      <c r="E54" s="9" t="s">
        <v>321</v>
      </c>
      <c r="F54" s="9" t="s">
        <v>222</v>
      </c>
      <c r="G54" s="9" t="s">
        <v>223</v>
      </c>
    </row>
    <row r="55" spans="1:7">
      <c r="A55" s="9" t="s">
        <v>51</v>
      </c>
      <c r="B55" s="9" t="s">
        <v>75</v>
      </c>
      <c r="C55" s="9" t="s">
        <v>322</v>
      </c>
      <c r="D55" s="9" t="s">
        <v>227</v>
      </c>
      <c r="E55" s="9" t="s">
        <v>323</v>
      </c>
      <c r="F55" s="9" t="s">
        <v>222</v>
      </c>
      <c r="G55" s="9" t="s">
        <v>223</v>
      </c>
    </row>
    <row r="56" spans="1:7">
      <c r="A56" s="9" t="s">
        <v>51</v>
      </c>
      <c r="B56" s="9" t="s">
        <v>75</v>
      </c>
      <c r="C56" s="9" t="s">
        <v>324</v>
      </c>
      <c r="D56" s="9" t="s">
        <v>227</v>
      </c>
      <c r="E56" s="9" t="s">
        <v>325</v>
      </c>
      <c r="F56" s="9" t="s">
        <v>222</v>
      </c>
      <c r="G56" s="9" t="s">
        <v>223</v>
      </c>
    </row>
    <row r="57" spans="1:7">
      <c r="A57" s="9" t="s">
        <v>51</v>
      </c>
      <c r="B57" s="9" t="s">
        <v>82</v>
      </c>
      <c r="C57" s="9" t="s">
        <v>326</v>
      </c>
      <c r="D57" s="9" t="s">
        <v>232</v>
      </c>
      <c r="E57" s="9" t="s">
        <v>327</v>
      </c>
      <c r="F57" s="9" t="s">
        <v>222</v>
      </c>
      <c r="G57" s="9" t="s">
        <v>223</v>
      </c>
    </row>
    <row r="58" spans="1:7">
      <c r="A58" s="9" t="s">
        <v>51</v>
      </c>
      <c r="B58" s="9" t="s">
        <v>82</v>
      </c>
      <c r="C58" s="9" t="s">
        <v>328</v>
      </c>
      <c r="D58" s="9" t="s">
        <v>227</v>
      </c>
      <c r="E58" s="9" t="s">
        <v>329</v>
      </c>
      <c r="F58" s="9" t="s">
        <v>222</v>
      </c>
      <c r="G58" s="9" t="s">
        <v>223</v>
      </c>
    </row>
    <row r="59" spans="1:7">
      <c r="A59" s="9" t="s">
        <v>51</v>
      </c>
      <c r="B59" s="9" t="s">
        <v>82</v>
      </c>
      <c r="C59" s="9" t="s">
        <v>330</v>
      </c>
      <c r="D59" s="9" t="s">
        <v>227</v>
      </c>
      <c r="E59" s="9" t="s">
        <v>331</v>
      </c>
      <c r="F59" s="9" t="s">
        <v>222</v>
      </c>
      <c r="G59" s="9" t="s">
        <v>223</v>
      </c>
    </row>
    <row r="60" spans="1:7">
      <c r="A60" s="9" t="s">
        <v>51</v>
      </c>
      <c r="B60" s="9" t="s">
        <v>332</v>
      </c>
      <c r="C60" s="9" t="s">
        <v>333</v>
      </c>
      <c r="D60" s="9" t="s">
        <v>220</v>
      </c>
      <c r="E60" s="9" t="s">
        <v>334</v>
      </c>
      <c r="F60" s="9" t="s">
        <v>222</v>
      </c>
      <c r="G60" s="9" t="s">
        <v>223</v>
      </c>
    </row>
    <row r="61" spans="1:7">
      <c r="A61" s="9" t="s">
        <v>51</v>
      </c>
      <c r="B61" s="9" t="s">
        <v>332</v>
      </c>
      <c r="C61" s="9" t="s">
        <v>335</v>
      </c>
      <c r="D61" s="9" t="s">
        <v>227</v>
      </c>
      <c r="E61" s="9" t="s">
        <v>336</v>
      </c>
      <c r="F61" s="9" t="s">
        <v>222</v>
      </c>
      <c r="G61" s="9" t="s">
        <v>223</v>
      </c>
    </row>
    <row r="62" spans="1:7">
      <c r="A62" s="9" t="s">
        <v>51</v>
      </c>
      <c r="B62" s="9" t="s">
        <v>332</v>
      </c>
      <c r="C62" s="9" t="s">
        <v>337</v>
      </c>
      <c r="D62" s="9" t="s">
        <v>227</v>
      </c>
      <c r="E62" s="9" t="s">
        <v>338</v>
      </c>
      <c r="F62" s="9" t="s">
        <v>222</v>
      </c>
      <c r="G62" s="9" t="s">
        <v>223</v>
      </c>
    </row>
    <row r="63" spans="1:7">
      <c r="A63" s="9" t="s">
        <v>51</v>
      </c>
      <c r="B63" s="9" t="s">
        <v>332</v>
      </c>
      <c r="C63" s="9" t="s">
        <v>339</v>
      </c>
      <c r="D63" s="9" t="s">
        <v>227</v>
      </c>
      <c r="E63" s="9" t="s">
        <v>340</v>
      </c>
      <c r="F63" s="9" t="s">
        <v>222</v>
      </c>
      <c r="G63" s="9" t="s">
        <v>223</v>
      </c>
    </row>
    <row r="64" spans="1:7">
      <c r="A64" s="9" t="s">
        <v>148</v>
      </c>
      <c r="B64" s="9" t="s">
        <v>341</v>
      </c>
      <c r="C64" s="9" t="s">
        <v>342</v>
      </c>
      <c r="D64" s="9" t="s">
        <v>227</v>
      </c>
      <c r="E64" s="9" t="s">
        <v>343</v>
      </c>
      <c r="F64" s="9" t="s">
        <v>222</v>
      </c>
      <c r="G64" s="9" t="s">
        <v>223</v>
      </c>
    </row>
    <row r="65" spans="1:7">
      <c r="A65" s="9" t="s">
        <v>148</v>
      </c>
      <c r="B65" s="9" t="s">
        <v>341</v>
      </c>
      <c r="C65" s="9" t="s">
        <v>344</v>
      </c>
      <c r="D65" s="9" t="s">
        <v>220</v>
      </c>
      <c r="E65" s="9" t="s">
        <v>345</v>
      </c>
      <c r="F65" s="9" t="s">
        <v>222</v>
      </c>
      <c r="G65" s="9" t="s">
        <v>223</v>
      </c>
    </row>
    <row r="66" spans="1:7">
      <c r="A66" s="9" t="s">
        <v>148</v>
      </c>
      <c r="B66" s="9" t="s">
        <v>341</v>
      </c>
      <c r="C66" s="9" t="s">
        <v>346</v>
      </c>
      <c r="D66" s="9" t="s">
        <v>227</v>
      </c>
      <c r="E66" s="9" t="s">
        <v>347</v>
      </c>
      <c r="F66" s="9" t="s">
        <v>222</v>
      </c>
      <c r="G66" s="9" t="s">
        <v>223</v>
      </c>
    </row>
    <row r="67" spans="1:7">
      <c r="A67" s="9" t="s">
        <v>148</v>
      </c>
      <c r="B67" s="9" t="s">
        <v>341</v>
      </c>
      <c r="C67" s="9" t="s">
        <v>348</v>
      </c>
      <c r="D67" s="9" t="s">
        <v>220</v>
      </c>
      <c r="E67" s="9" t="s">
        <v>349</v>
      </c>
      <c r="F67" s="9" t="s">
        <v>222</v>
      </c>
      <c r="G67" s="9" t="s">
        <v>223</v>
      </c>
    </row>
    <row r="68" spans="1:7">
      <c r="A68" s="9" t="s">
        <v>148</v>
      </c>
      <c r="B68" s="9" t="s">
        <v>341</v>
      </c>
      <c r="C68" s="9" t="s">
        <v>350</v>
      </c>
      <c r="D68" s="9" t="s">
        <v>220</v>
      </c>
      <c r="E68" s="9" t="s">
        <v>351</v>
      </c>
      <c r="F68" s="9" t="s">
        <v>222</v>
      </c>
      <c r="G68" s="9" t="s">
        <v>223</v>
      </c>
    </row>
    <row r="69" spans="1:7">
      <c r="A69" s="9" t="s">
        <v>148</v>
      </c>
      <c r="B69" s="9" t="s">
        <v>341</v>
      </c>
      <c r="C69" s="9" t="s">
        <v>352</v>
      </c>
      <c r="D69" s="9" t="s">
        <v>220</v>
      </c>
      <c r="E69" s="9" t="s">
        <v>353</v>
      </c>
      <c r="F69" s="9" t="s">
        <v>222</v>
      </c>
      <c r="G69" s="9" t="s">
        <v>223</v>
      </c>
    </row>
    <row r="70" spans="1:7">
      <c r="A70" s="9" t="s">
        <v>148</v>
      </c>
      <c r="B70" s="9" t="s">
        <v>341</v>
      </c>
      <c r="C70" s="9" t="s">
        <v>354</v>
      </c>
      <c r="D70" s="9" t="s">
        <v>220</v>
      </c>
      <c r="E70" s="9" t="s">
        <v>355</v>
      </c>
      <c r="F70" s="9" t="s">
        <v>222</v>
      </c>
      <c r="G70" s="9" t="s">
        <v>223</v>
      </c>
    </row>
    <row r="71" spans="1:7">
      <c r="A71" s="9" t="s">
        <v>148</v>
      </c>
      <c r="B71" s="9" t="s">
        <v>341</v>
      </c>
      <c r="C71" s="9" t="s">
        <v>356</v>
      </c>
      <c r="D71" s="9" t="s">
        <v>227</v>
      </c>
      <c r="E71" s="9" t="s">
        <v>357</v>
      </c>
      <c r="F71" s="9" t="s">
        <v>222</v>
      </c>
      <c r="G71" s="9" t="s">
        <v>223</v>
      </c>
    </row>
    <row r="72" spans="1:7">
      <c r="A72" s="9" t="s">
        <v>148</v>
      </c>
      <c r="B72" s="9" t="s">
        <v>341</v>
      </c>
      <c r="C72" s="9" t="s">
        <v>358</v>
      </c>
      <c r="D72" s="9" t="s">
        <v>220</v>
      </c>
      <c r="E72" s="9" t="s">
        <v>359</v>
      </c>
      <c r="F72" s="9" t="s">
        <v>222</v>
      </c>
      <c r="G72" s="9" t="s">
        <v>223</v>
      </c>
    </row>
    <row r="73" spans="1:7">
      <c r="A73" s="9" t="s">
        <v>148</v>
      </c>
      <c r="B73" s="9" t="s">
        <v>341</v>
      </c>
      <c r="C73" s="9" t="s">
        <v>360</v>
      </c>
      <c r="D73" s="9" t="s">
        <v>227</v>
      </c>
      <c r="E73" s="9" t="s">
        <v>361</v>
      </c>
      <c r="F73" s="9" t="s">
        <v>222</v>
      </c>
      <c r="G73" s="9" t="s">
        <v>223</v>
      </c>
    </row>
    <row r="74" spans="1:7">
      <c r="A74" s="9" t="s">
        <v>148</v>
      </c>
      <c r="B74" s="9" t="s">
        <v>341</v>
      </c>
      <c r="C74" s="9" t="s">
        <v>362</v>
      </c>
      <c r="D74" s="9" t="s">
        <v>227</v>
      </c>
      <c r="E74" s="9" t="s">
        <v>363</v>
      </c>
      <c r="F74" s="9" t="s">
        <v>222</v>
      </c>
      <c r="G74" s="9" t="s">
        <v>223</v>
      </c>
    </row>
    <row r="75" spans="1:7">
      <c r="A75" s="10" t="s">
        <v>148</v>
      </c>
      <c r="B75" s="10" t="s">
        <v>341</v>
      </c>
      <c r="C75" s="10" t="s">
        <v>364</v>
      </c>
      <c r="D75" s="10" t="s">
        <v>227</v>
      </c>
      <c r="E75" s="10" t="s">
        <v>365</v>
      </c>
      <c r="F75" s="10" t="s">
        <v>222</v>
      </c>
      <c r="G75" s="10" t="s">
        <v>223</v>
      </c>
    </row>
  </sheetData>
  <mergeCells count="2">
    <mergeCell ref="A2:G2"/>
    <mergeCell ref="A3:G3"/>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12"/>
  <sheetViews>
    <sheetView workbookViewId="0">
      <selection activeCell="F12" sqref="F12"/>
    </sheetView>
  </sheetViews>
  <sheetFormatPr defaultColWidth="9" defaultRowHeight="13.5" outlineLevelCol="5"/>
  <cols>
    <col min="1" max="1" width="18" customWidth="1"/>
    <col min="2" max="2" width="72" customWidth="1"/>
    <col min="3" max="3" width="5" customWidth="1"/>
    <col min="4" max="4" width="20" customWidth="1"/>
    <col min="5" max="5" width="42" customWidth="1"/>
    <col min="6" max="6" width="52" customWidth="1"/>
  </cols>
  <sheetData>
    <row r="2" ht="20.6" spans="1:6">
      <c r="A2" s="1" t="s">
        <v>366</v>
      </c>
    </row>
    <row r="4" spans="1:6">
      <c r="A4" s="2" t="s">
        <v>367</v>
      </c>
      <c r="B4" s="2" t="s">
        <v>368</v>
      </c>
      <c r="D4" s="2" t="s">
        <v>369</v>
      </c>
      <c r="E4" s="2" t="s">
        <v>370</v>
      </c>
      <c r="F4" s="2" t="s">
        <v>371</v>
      </c>
    </row>
    <row r="5" ht="44" customHeight="1" spans="1:6">
      <c r="A5" s="3" t="s">
        <v>372</v>
      </c>
      <c r="B5" s="3" t="s">
        <v>373</v>
      </c>
      <c r="D5" s="3" t="s">
        <v>374</v>
      </c>
      <c r="E5" s="3" t="s">
        <v>375</v>
      </c>
      <c r="F5" s="3" t="s">
        <v>376</v>
      </c>
    </row>
    <row r="6" ht="44" customHeight="1" spans="1:6">
      <c r="A6" s="3" t="s">
        <v>377</v>
      </c>
      <c r="B6" s="3" t="s">
        <v>378</v>
      </c>
      <c r="D6" s="3" t="s">
        <v>227</v>
      </c>
      <c r="E6" s="3" t="s">
        <v>379</v>
      </c>
      <c r="F6" s="3" t="s">
        <v>380</v>
      </c>
    </row>
    <row r="7" ht="44" customHeight="1" spans="1:6">
      <c r="A7" s="3" t="s">
        <v>15</v>
      </c>
      <c r="B7" s="3" t="s">
        <v>381</v>
      </c>
      <c r="D7" s="3" t="s">
        <v>232</v>
      </c>
      <c r="E7" s="3" t="s">
        <v>382</v>
      </c>
      <c r="F7" s="3" t="s">
        <v>383</v>
      </c>
    </row>
    <row r="8" ht="44" customHeight="1" spans="1:6">
      <c r="A8" s="3" t="s">
        <v>16</v>
      </c>
      <c r="B8" s="3" t="s">
        <v>384</v>
      </c>
      <c r="D8" s="3" t="s">
        <v>385</v>
      </c>
      <c r="E8" s="3" t="s">
        <v>386</v>
      </c>
      <c r="F8" s="3" t="s">
        <v>387</v>
      </c>
    </row>
    <row r="9" ht="44" customHeight="1" spans="1:6">
      <c r="A9" s="3" t="s">
        <v>388</v>
      </c>
      <c r="B9" s="3" t="s">
        <v>389</v>
      </c>
      <c r="D9" s="3" t="s">
        <v>390</v>
      </c>
      <c r="E9" s="3" t="s">
        <v>391</v>
      </c>
      <c r="F9" s="3" t="s">
        <v>392</v>
      </c>
    </row>
    <row r="10" ht="44" customHeight="1" spans="1:6">
      <c r="A10" s="3" t="s">
        <v>227</v>
      </c>
      <c r="B10" s="3" t="s">
        <v>393</v>
      </c>
      <c r="D10" s="4" t="s">
        <v>394</v>
      </c>
      <c r="E10" s="4" t="s">
        <v>395</v>
      </c>
      <c r="F10" s="4" t="s">
        <v>396</v>
      </c>
    </row>
    <row r="11" ht="44" customHeight="1" spans="1:6">
      <c r="A11" s="3" t="s">
        <v>232</v>
      </c>
      <c r="B11" s="3" t="s">
        <v>397</v>
      </c>
    </row>
    <row r="12" ht="44" customHeight="1" spans="1:6">
      <c r="A12" s="4" t="s">
        <v>390</v>
      </c>
      <c r="B12" s="4" t="s">
        <v>398</v>
      </c>
    </row>
  </sheetData>
  <mergeCells count="1">
    <mergeCell ref="A2:F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内容与素材清单</vt:lpstr>
      <vt:lpstr>现有素材索引</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Transkai</cp:lastModifiedBy>
  <dcterms:created xsi:type="dcterms:W3CDTF">2026-09-22T19:36:00Z</dcterms:created>
  <dcterms:modified xsi:type="dcterms:W3CDTF">2026-10-06T04:12:05Z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8E4569692F704096AE2F63C298C739DF_13</vt:lpwstr>
  </property>
  <property fmtid="{D5CDD505-2E9C-101B-9397-08002B2CF9AE}" pid="3" name="KSOProductBuildVer">
    <vt:lpwstr>2052-12.1.0.28505</vt:lpwstr>
  </property>
  <property fmtid="{D5CDD505-2E9C-101B-9397-08002B2CF9AE}" pid="4" name="CalculationRule">
    <vt:i4>0</vt:i4>
  </property>
</Properties>
</file>