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ef64c827274d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内容与素材清单" sheetId="1" r:id="R2ddf80848f02466d"/>
    <x:sheet xmlns:r="http://schemas.openxmlformats.org/officeDocument/2006/relationships" name="现有素材索引" sheetId="2" r:id="Ra7303d77b4b44f74"/>
    <x:sheet xmlns:r="http://schemas.openxmlformats.org/officeDocument/2006/relationships" name="填写说明" sheetId="3" r:id="R40a7a5e6f8c742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b/>
      <x:sz val="16"/>
      <x:color rgb="FF18212F"/>
      <x:name val="Arial"/>
    </x:font>
    <x:font>
      <x:i/>
      <x:sz val="10"/>
      <x:color rgb="FF5B6472"/>
      <x:name val="Arial"/>
    </x:font>
    <x:font>
      <x:b/>
      <x:sz val="10"/>
      <x:color rgb="FFFFFFFF"/>
      <x:name val="Arial"/>
    </x:font>
    <x:font>
      <x:b/>
      <x:sz val="11"/>
      <x:color rgb="FF18212F"/>
      <x:name val="Arial"/>
    </x:font>
    <x:font>
      <x:sz val="10"/>
      <x:color rgb="FF202936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7364A"/>
      </x:patternFill>
    </x:fill>
    <x:fill>
      <x:patternFill patternType="solid">
        <x:fgColor rgb="FFDDE7F2"/>
      </x:patternFill>
    </x:fill>
    <x:fill>
      <x:patternFill patternType="solid">
        <x:fgColor rgb="FF1F4E78"/>
      </x:patternFill>
    </x:fill>
    <x:fill>
      <x:patternFill patternType="solid">
        <x:fgColor rgb="FFFFF4CC"/>
      </x:patternFill>
    </x:fill>
  </x:fills>
  <x:borders count="7">
    <x:border/>
    <x:border>
      <x:bottom style="thin">
        <x:color rgb="FFB8C0CC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D9DEE6"/>
      </x:bottom>
    </x:border>
    <x:border>
      <x:bottom style="thin">
        <x:color rgb="FFE3E7ED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5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horizontal="center" vertical="top" wrapText="1"/>
    </x:xf>
    <x:xf numFmtId="0" fontId="5" fillId="0" borderId="5" xfId="0" applyNumberFormat="1" applyFont="1" applyFill="1" applyBorder="1" applyAlignment="1">
      <x:alignment horizontal="center"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horizontal="center" vertical="top" wrapText="1"/>
    </x:xf>
    <x:xf numFmtId="0" fontId="5" fillId="5" borderId="5" xfId="0" applyNumberFormat="1" applyFont="1" applyFill="1" applyBorder="1" applyAlignment="1">
      <x:alignment horizontal="center" vertical="top" wrapText="1"/>
    </x:xf>
    <x:xf numFmtId="200" fontId="5" fillId="5" borderId="0" xfId="0" applyNumberFormat="1" applyFont="1" applyFill="1" applyBorder="1" applyAlignment="1">
      <x:alignment vertical="top" wrapText="1"/>
    </x:xf>
    <x:xf numFmtId="200" fontId="5" fillId="5" borderId="5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/>
    <x:xf numFmtId="0" fontId="5" fillId="0" borderId="0" xfId="0" applyNumberFormat="1" applyFont="1" applyFill="1" applyBorder="1" applyAlignment="1">
      <x:alignment wrapText="0"/>
    </x:xf>
    <x:xf numFmtId="0" fontId="5" fillId="0" borderId="6" xfId="0" applyNumberFormat="1" applyFont="1" applyFill="1" applyBorder="1" applyAlignment="1">
      <x:alignment wrapText="0"/>
    </x:xf>
    <x:xf numFmtId="0" fontId="5" fillId="0" borderId="0" xfId="0" applyNumberFormat="1" applyFont="1" applyFill="1" applyBorder="1" applyAlignment="1">
      <x:alignment vertical="top" wrapText="0"/>
    </x:xf>
    <x:xf numFmtId="0" fontId="5" fillId="0" borderId="6" xfId="0" applyNumberFormat="1" applyFont="1" applyFill="1" applyBorder="1" applyAlignment="1">
      <x:alignment vertical="top" wrapText="0"/>
    </x:xf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4">
    <x:dxf>
      <x:font>
        <x:b/>
        <x:color rgb="FFB42318"/>
      </x:font>
      <x:fill>
        <x:patternFill patternType="solid">
          <x:bgColor rgb="FFFDE8E7"/>
        </x:patternFill>
      </x:fill>
    </x:dxf>
    <x:dxf>
      <x:font>
        <x:b/>
        <x:color rgb="FF9A4E00"/>
      </x:font>
      <x:fill>
        <x:patternFill patternType="solid">
          <x:bgColor rgb="FFFFF0D6"/>
        </x:patternFill>
      </x:fill>
    </x:dxf>
    <x:dxf>
      <x:font>
        <x:b/>
        <x:color rgb="FF1D6B3A"/>
      </x:font>
      <x:fill>
        <x:patternFill patternType="solid">
          <x:bgColor rgb="FFE5F4EA"/>
        </x:patternFill>
      </x:fill>
    </x:dxf>
    <x:dxf>
      <x:font>
        <x:b/>
        <x:color rgb="FFA61B1B"/>
      </x:font>
      <x:fill>
        <x:patternFill patternType="solid">
          <x:bgColor rgb="FFFADB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cd5d64e0934a35" /><Relationship Type="http://schemas.openxmlformats.org/officeDocument/2006/relationships/theme" Target="/xl/theme/theme1.xml" Id="R632410ac3d3e4a56" /><Relationship Type="http://schemas.openxmlformats.org/officeDocument/2006/relationships/sharedStrings" Target="/xl/sharedStrings.xml" Id="Rb1473a1a516b4cbe" /><Relationship Type="http://schemas.openxmlformats.org/officeDocument/2006/relationships/worksheet" Target="/xl/worksheets/sheet1.xml" Id="R2ddf80848f02466d" /><Relationship Type="http://schemas.openxmlformats.org/officeDocument/2006/relationships/worksheet" Target="/xl/worksheets/sheet2.xml" Id="Ra7303d77b4b44f74" /><Relationship Type="http://schemas.openxmlformats.org/officeDocument/2006/relationships/worksheet" Target="/xl/worksheets/sheet3.xml" Id="R40a7a5e6f8c74297" /></Relationships>
</file>

<file path=xl/tables/table1.xml><?xml version="1.0" encoding="utf-8"?>
<x:table xmlns:x="http://schemas.openxmlformats.org/spreadsheetml/2006/main" id="1" name="ContentMaterialChecklist" displayName="ContentMaterialChecklist" ref="A7:O33" headerRowCount="1" totalsRowCount="0" totalsRowShown="0">
  <x:tableColumns count="15">
    <x:tableColumn id="1" name="序号"/>
    <x:tableColumn id="2" name="大模块"/>
    <x:tableColumn id="3" name="子模块"/>
    <x:tableColumn id="4" name="页面位置"/>
    <x:tableColumn id="5" name="现有英文介绍 / 占位提示"/>
    <x:tableColumn id="6" name="需要补充的英文内容清单"/>
    <x:tableColumn id="7" name="现有素材清单"/>
    <x:tableColumn id="8" name="建议补充素材清单"/>
    <x:tableColumn id="9" name="素材规格 / 注意事项"/>
    <x:tableColumn id="10" name="内容负责人"/>
    <x:tableColumn id="11" name="素材负责人"/>
    <x:tableColumn id="12" name="优先级"/>
    <x:tableColumn id="13" name="状态"/>
    <x:tableColumn id="14" name="截止日期"/>
    <x:tableColumn id="15" name="反馈 / 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ssetInventory" displayName="AssetInventory" ref="A5:G75" headerRowCount="1" totalsRowCount="0" totalsRowShown="0">
  <x:tableColumns count="7">
    <x:tableColumn id="1" name="大模块"/>
    <x:tableColumn id="2" name="素材文件夹 / 对应项目"/>
    <x:tableColumn id="3" name="文件名"/>
    <x:tableColumn id="4" name="类型"/>
    <x:tableColumn id="5" name="相对路径"/>
    <x:tableColumn id="6" name="当前状态"/>
    <x:tableColumn id="7" name="核对事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3ee3002bcdf454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bafd1c577e34b9f" /></Relationships>
</file>

<file path=xl/worksheets/sheet1.xml><?xml version="1.0" encoding="utf-8"?>
<x:worksheet xmlns:x="http://schemas.openxmlformats.org/spreadsheetml/2006/main">
  <x:sheetViews>
    <x:sheetView workbookViewId="0">
      <x:pane xSplit="3" ySplit="7" topLeftCell="D8" activePane="bottomRight" state="frozen"/>
    </x:sheetView>
  </x:sheetViews>
  <x:sheetFormatPr defaultRowHeight="15"/>
  <x:cols>
    <x:col min="1" max="1" width="7" hidden="0" customWidth="1"/>
    <x:col min="2" max="2" width="18" hidden="0" customWidth="1"/>
    <x:col min="3" max="3" width="25" hidden="0" customWidth="1"/>
    <x:col min="4" max="4" width="20" hidden="0" customWidth="1"/>
    <x:col min="5" max="5" width="44" hidden="0" customWidth="1"/>
    <x:col min="6" max="6" width="50" hidden="0" customWidth="1"/>
    <x:col min="7" max="7" width="38" hidden="0" customWidth="1"/>
    <x:col min="8" max="8" width="42" hidden="0" customWidth="1"/>
    <x:col min="9" max="9" width="38" hidden="0" customWidth="1"/>
    <x:col min="10" max="10" width="14" hidden="0" customWidth="1"/>
    <x:col min="11" max="11" width="14" hidden="0" customWidth="1"/>
    <x:col min="12" max="12" width="10" hidden="0" customWidth="1"/>
    <x:col min="13" max="13" width="14" hidden="0" customWidth="1"/>
    <x:col min="14" max="14" width="14" hidden="0" customWidth="1"/>
    <x:col min="15" max="15" width="24" hidden="0" customWidth="1"/>
  </x:cols>
  <x:sheetData>
    <x:row r="2">
      <x:c r="A2" s="2" t="str">
        <x:v>网站英文内容与素材补充清单</x:v>
      </x:c>
    </x:row>
    <x:row r="3">
      <x:c r="A3" s="3" t="str">
        <x:v>依据当前网站页面与 assets 目录整理｜黄色列为协作填写区｜更新日期：2026-09-23</x:v>
      </x:c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</x:row>
    <x:row r="5">
      <x:c r="A5" s="7" t="str">
        <x:v>总条目</x:v>
      </x:c>
      <x:c r="B5" s="10" t="n">
        <x:v>26</x:v>
      </x:c>
      <x:c r="C5" s="7" t="str">
        <x:v>待补充/待确认</x:v>
      </x:c>
      <x:c r="D5" s="7" t="n">
        <x:f>COUNTIF(M8:M200,"待补充")+COUNTIF(M8:M200,"待确认")</x:f>
        <x:v>11</x:v>
      </x:c>
      <x:c r="E5" s="7" t="str">
        <x:v>已有一定素材</x:v>
      </x:c>
      <x:c r="F5" s="7" t="n">
        <x:f>COUNTIF(M8:M200,"部分已有")+COUNTIF(M8:M200,"大部分已有")</x:f>
        <x:v>15</x:v>
      </x:c>
      <x:c r="G5" s="7" t="str">
        <x:v>高优先级</x:v>
      </x:c>
      <x:c r="H5" s="7" t="n">
        <x:f>COUNTIF(L8:L200,"高")</x:f>
        <x:v>16</x:v>
      </x:c>
    </x:row>
    <x:row r="7" ht="34" customHeight="1">
      <x:c r="A7" s="22" t="str">
        <x:v>序号</x:v>
      </x:c>
      <x:c r="B7" s="23" t="str">
        <x:v>大模块</x:v>
      </x:c>
      <x:c r="C7" s="23" t="str">
        <x:v>子模块</x:v>
      </x:c>
      <x:c r="D7" s="23" t="str">
        <x:v>页面位置</x:v>
      </x:c>
      <x:c r="E7" s="23" t="str">
        <x:v>现有英文介绍 / 占位提示</x:v>
      </x:c>
      <x:c r="F7" s="23" t="str">
        <x:v>需要补充的英文内容清单</x:v>
      </x:c>
      <x:c r="G7" s="23" t="str">
        <x:v>现有素材清单</x:v>
      </x:c>
      <x:c r="H7" s="23" t="str">
        <x:v>建议补充素材清单</x:v>
      </x:c>
      <x:c r="I7" s="23" t="str">
        <x:v>素材规格 / 注意事项</x:v>
      </x:c>
      <x:c r="J7" s="23" t="str">
        <x:v>内容负责人</x:v>
      </x:c>
      <x:c r="K7" s="23" t="str">
        <x:v>素材负责人</x:v>
      </x:c>
      <x:c r="L7" s="23" t="str">
        <x:v>优先级</x:v>
      </x:c>
      <x:c r="M7" s="23" t="str">
        <x:v>状态</x:v>
      </x:c>
      <x:c r="N7" s="23" t="str">
        <x:v>截止日期</x:v>
      </x:c>
      <x:c r="O7" s="24" t="str">
        <x:v>反馈 / 备注</x:v>
      </x:c>
    </x:row>
    <x:row r="8" ht="86" customHeight="1">
      <x:c r="A8" s="31" t="n">
        <x:v>1</x:v>
      </x:c>
      <x:c r="B8" s="29" t="str">
        <x:v>首页 Home</x:v>
      </x:c>
      <x:c r="C8" s="29" t="str">
        <x:v>首屏个人定位 Hero</x:v>
      </x:c>
      <x:c r="D8" s="29" t="str">
        <x:v>index.html · Hero</x:v>
      </x:c>
      <x:c r="E8" s="29" t="str">
        <x:v>Hello, I'm Eleanor Zhang. Curious Builder · Empathetic Leader · Visual Storyteller · Disciplined Athlete</x:v>
      </x:c>
      <x:c r="F8" s="29" t="str">
        <x:v>确认姓名、毕业年份；补充1句更有个人辨识度的英文定位或保留现有定位。</x:v>
      </x:c>
      <x:c r="G8" s="29" t="str">
        <x:v>暂无独立首屏素材</x:v>
      </x:c>
      <x:c r="H8" s="29" t="str">
        <x:v>横版或竖版主视觉照片1张（自然、清晰、可裁切）；如不用照片请确认。</x:v>
      </x:c>
      <x:c r="I8" s="29" t="str">
        <x:v>图片建议≥2000px；说明拍摄时间、地点、摄影者及使用授权。</x:v>
      </x:c>
      <x:c r="J8" s="33" t="str"/>
      <x:c r="K8" s="33" t="str"/>
      <x:c r="L8" s="35" t="str">
        <x:v>高</x:v>
      </x:c>
      <x:c r="M8" s="35" t="str">
        <x:v>待补充</x:v>
      </x:c>
      <x:c r="N8" s="37" t="str"/>
      <x:c r="O8" s="33" t="str"/>
    </x:row>
    <x:row r="9" ht="86" customHeight="1">
      <x:c r="A9" s="31" t="n">
        <x:v>2</x:v>
      </x:c>
      <x:c r="B9" s="29" t="str">
        <x:v>首页 Home</x:v>
      </x:c>
      <x:c r="C9" s="29" t="str">
        <x:v>个人简介 Short bio</x:v>
      </x:c>
      <x:c r="D9" s="29" t="str">
        <x:v>index.html · Home</x:v>
      </x:c>
      <x:c r="E9" s="29" t="str">
        <x:v>[SHORT BIO — 150–250 words about background, interests, character, and what the student hopes to explore. Keep this specific and personal rather than résumé-like.]</x:v>
      </x:c>
      <x:c r="F9" s="29" t="str">
        <x:v>英文个人简介150–250词：成长背景、核心兴趣、性格特点、希望继续探索的方向；避免简历式罗列。</x:v>
      </x:c>
      <x:c r="G9" s="29" t="str">
        <x:v>Head Prefect.jpg（当前作为个人照片）</x:v>
      </x:c>
      <x:c r="H9" s="29" t="str">
        <x:v>自然肖像2–3张；可选童年/生活照1张。</x:v>
      </x:c>
      <x:c r="I9" s="29" t="str">
        <x:v>提供每张图片的英文说明、年份、地点、人物关系及优先顺序。</x:v>
      </x:c>
      <x:c r="J9" s="33" t="str"/>
      <x:c r="K9" s="33" t="str"/>
      <x:c r="L9" s="35" t="str">
        <x:v>高</x:v>
      </x:c>
      <x:c r="M9" s="35" t="str">
        <x:v>待补充</x:v>
      </x:c>
      <x:c r="N9" s="37" t="str"/>
      <x:c r="O9" s="33" t="str"/>
    </x:row>
    <x:row r="10" ht="86" customHeight="1">
      <x:c r="A10" s="31" t="n">
        <x:v>3</x:v>
      </x:c>
      <x:c r="B10" s="29" t="str">
        <x:v>首页 Home</x:v>
      </x:c>
      <x:c r="C10" s="29" t="str">
        <x:v>学生代表演讲 Student Representative Speech</x:v>
      </x:c>
      <x:c r="D10" s="29" t="str">
        <x:v>index.html · Home</x:v>
      </x:c>
      <x:c r="E10" s="29" t="str">
        <x:v>A concise edited clip that introduces Eleanor's voice, values, and relationship with her school community.</x:v>
      </x:c>
      <x:c r="F10" s="29" t="str">
        <x:v>英文简介80–120词：演讲场合、听众、主题、本人角色、核心观点与反思；确认视频英文标题。</x:v>
      </x:c>
      <x:c r="G10" s="29" t="str">
        <x:v>student-representative-highlights.mp4；2张封面图</x:v>
      </x:c>
      <x:c r="H10" s="29" t="str">
        <x:v>完整演讲或字幕文件；活动照片2–4张；演讲稿/活动证明（可选）。</x:v>
      </x:c>
      <x:c r="I10" s="29" t="str">
        <x:v>视频建议1080p；提供英文字幕或逐字稿；确认能否公开。</x:v>
      </x:c>
      <x:c r="J10" s="33" t="str"/>
      <x:c r="K10" s="33" t="str"/>
      <x:c r="L10" s="35" t="str">
        <x:v>高</x:v>
      </x:c>
      <x:c r="M10" s="35" t="str">
        <x:v>部分已有</x:v>
      </x:c>
      <x:c r="N10" s="37" t="str"/>
      <x:c r="O10" s="33" t="str"/>
    </x:row>
    <x:row r="11" ht="86" customHeight="1">
      <x:c r="A11" s="31" t="n">
        <x:v>4</x:v>
      </x:c>
      <x:c r="B11" s="29" t="str">
        <x:v>首页 Home</x:v>
      </x:c>
      <x:c r="C11" s="29" t="str">
        <x:v>联系信息 Contact</x:v>
      </x:c>
      <x:c r="D11" s="29" t="str">
        <x:v>index.html · Closing</x:v>
      </x:c>
      <x:c r="E11" s="29" t="str">
        <x:v>Builder · Leader · Storyteller · Athlete · Explorer</x:v>
      </x:c>
      <x:c r="F11" s="29" t="str">
        <x:v>确认展示用邮箱、毕业年份、简历文件版本、页脚更新时间。</x:v>
      </x:c>
      <x:c r="G11" s="29" t="str">
        <x:v>resume.pdf</x:v>
      </x:c>
      <x:c r="H11" s="29" t="str">
        <x:v>最新版英文简历PDF；可选个人头像或二维码。</x:v>
      </x:c>
      <x:c r="I11" s="29" t="str">
        <x:v>文件名建议简洁；检查个人隐私信息与公开权限。</x:v>
      </x:c>
      <x:c r="J11" s="33" t="str"/>
      <x:c r="K11" s="33" t="str"/>
      <x:c r="L11" s="35" t="str">
        <x:v>高</x:v>
      </x:c>
      <x:c r="M11" s="35" t="str">
        <x:v>待确认</x:v>
      </x:c>
      <x:c r="N11" s="37" t="str"/>
      <x:c r="O11" s="33" t="str"/>
    </x:row>
    <x:row r="12" ht="86" customHeight="1">
      <x:c r="A12" s="31" t="n">
        <x:v>5</x:v>
      </x:c>
      <x:c r="B12" s="29" t="str">
        <x:v>创业实践 Ventures</x:v>
      </x:c>
      <x:c r="C12" s="29" t="str">
        <x:v>Storage Platform &amp; Secondhand Trading</x:v>
      </x:c>
      <x:c r="D12" s="29" t="str">
        <x:v>ventures.html · 02.01</x:v>
      </x:c>
      <x:c r="E12" s="29" t="str">
        <x:v>[PROBLEM, USERS, YOUR ROLE, HOW THE PLATFORM WORKED, EVIDENCE OF USE, AND WHAT YOU WOULD IMPROVE.]</x:v>
      </x:c>
      <x:c r="F12" s="29" t="str">
        <x:v>英文项目介绍150–220词：问题、目标用户、发起原因、个人职责、方案/流程、使用数据或结果、复盘改进。</x:v>
      </x:c>
      <x:c r="G12" s="29" t="str">
        <x:v>网页目前误用Writing Center Tutor2.jpg、Calligraphy Club2.jpg</x:v>
      </x:c>
      <x:c r="H12" s="29" t="str">
        <x:v>产品界面/流程图3–6张；团队或用户调研照；运营数据截图；项目演示视频；方案PDF。</x:v>
      </x:c>
      <x:c r="I12" s="29" t="str">
        <x:v>须提供结果数据口径；界面截图隐藏个人信息；标注本人具体贡献。</x:v>
      </x:c>
      <x:c r="J12" s="33" t="str"/>
      <x:c r="K12" s="33" t="str"/>
      <x:c r="L12" s="35" t="str">
        <x:v>高</x:v>
      </x:c>
      <x:c r="M12" s="35" t="str">
        <x:v>待补充</x:v>
      </x:c>
      <x:c r="N12" s="37" t="str"/>
      <x:c r="O12" s="33" t="str">
        <x:v>当前素材疑似占位，需替换</x:v>
      </x:c>
    </x:row>
    <x:row r="13" ht="86" customHeight="1">
      <x:c r="A13" s="31" t="n">
        <x:v>6</x:v>
      </x:c>
      <x:c r="B13" s="29" t="str">
        <x:v>创业实践 Ventures</x:v>
      </x:c>
      <x:c r="C13" s="29" t="str">
        <x:v>Healthy Bowl</x:v>
      </x:c>
      <x:c r="D13" s="29" t="str">
        <x:v>ventures.html · 02.02</x:v>
      </x:c>
      <x:c r="E13" s="29" t="str">
        <x:v>[HOW CERAMICS, PORTION DESIGN, AND HEALTH BEHAVIOR CAME TOGETHER.]</x:v>
      </x:c>
      <x:c r="F13" s="29" t="str">
        <x:v>英文项目介绍150–220词：洞察、健康行为假设、景德镇/陶瓷背景、设计过程、测试反馈、成果与反思。</x:v>
      </x:c>
      <x:c r="G13" s="29" t="str">
        <x:v>bowls.png；Porcelain portion-bowls.JPG；SavorSlim Logo.jpg；减肥碗.pdf</x:v>
      </x:c>
      <x:c r="H13" s="29" t="str">
        <x:v>原型迭代照片；调研/访谈记录；使用场景；获奖或展示证明；品牌说明。</x:v>
      </x:c>
      <x:c r="I13" s="29" t="str">
        <x:v>说明每版原型差异；PDF若中文需英文摘要。</x:v>
      </x:c>
      <x:c r="J13" s="33" t="str"/>
      <x:c r="K13" s="33" t="str"/>
      <x:c r="L13" s="35" t="str">
        <x:v>高</x:v>
      </x:c>
      <x:c r="M13" s="35" t="str">
        <x:v>部分已有</x:v>
      </x:c>
      <x:c r="N13" s="37" t="str"/>
      <x:c r="O13" s="33" t="str"/>
    </x:row>
    <x:row r="14" ht="86" customHeight="1">
      <x:c r="A14" s="31" t="n">
        <x:v>7</x:v>
      </x:c>
      <x:c r="B14" s="29" t="str">
        <x:v>创业实践 Ventures</x:v>
      </x:c>
      <x:c r="C14" s="29" t="str">
        <x:v>Kettle Recipe</x:v>
      </x:c>
      <x:c r="D14" s="29" t="str">
        <x:v>ventures.html · 02.03</x:v>
      </x:c>
      <x:c r="E14" s="29" t="str">
        <x:v>[THE IDEA, TESTING PROCESS, AND WHAT YOU LEARNED ABOUT USERS OR FOOD.]</x:v>
      </x:c>
      <x:c r="F14" s="29" t="str">
        <x:v>英文项目介绍120–180词：创意来源、目标用户、测试次数、配方/产品迭代、用户反馈和学习。</x:v>
      </x:c>
      <x:c r="G14" s="29" t="str">
        <x:v>当前误用Healthy Bowl素材</x:v>
      </x:c>
      <x:c r="H14" s="29" t="str">
        <x:v>配方步骤图；实验/测试照片；成品图；用户反馈；过程记录或PDF。</x:v>
      </x:c>
      <x:c r="I14" s="29" t="str">
        <x:v>明确与Healthy Bowl是否为同一项目；若不是必须提供独立素材。</x:v>
      </x:c>
      <x:c r="J14" s="33" t="str"/>
      <x:c r="K14" s="33" t="str"/>
      <x:c r="L14" s="35" t="str">
        <x:v>中</x:v>
      </x:c>
      <x:c r="M14" s="35" t="str">
        <x:v>待补充</x:v>
      </x:c>
      <x:c r="N14" s="37" t="str"/>
      <x:c r="O14" s="33" t="str">
        <x:v>当前素材疑似占位，需替换</x:v>
      </x:c>
    </x:row>
    <x:row r="15" ht="86" customHeight="1">
      <x:c r="A15" s="31" t="n">
        <x:v>8</x:v>
      </x:c>
      <x:c r="B15" s="29" t="str">
        <x:v>创业实践 Ventures</x:v>
      </x:c>
      <x:c r="C15" s="29" t="str">
        <x:v>BPA</x:v>
      </x:c>
      <x:c r="D15" s="29" t="str">
        <x:v>ventures.html · 02.04</x:v>
      </x:c>
      <x:c r="E15" s="29" t="str">
        <x:v>[COMPETITION CATEGORY, TEAM ROLE, PREPARATION, RESULT, AND REFLECTION.]</x:v>
      </x:c>
      <x:c r="F15" s="29" t="str">
        <x:v>英文项目介绍150–220词：比赛全称/组别、题目、团队分工、准备过程、个人贡献、全国铜奖结果、反思。</x:v>
      </x:c>
      <x:c r="G15" s="29" t="str">
        <x:v>IMG_1268.JPG；IMG_1269.JPG；IMG_7479.HEIC；IMG_7489.JPG；IMG_7510.PNG；BPA证书PDF；全国铜奖PDF</x:v>
      </x:c>
      <x:c r="H15" s="29" t="str">
        <x:v>英文版项目摘要；演示文稿；比赛现场照片；个人职责证明；获奖信息英文翻译。</x:v>
      </x:c>
      <x:c r="I15" s="29" t="str">
        <x:v>注明比赛年份、级别、奖项官方英文名称；HEIC建议另存JPG。</x:v>
      </x:c>
      <x:c r="J15" s="33" t="str"/>
      <x:c r="K15" s="33" t="str"/>
      <x:c r="L15" s="35" t="str">
        <x:v>高</x:v>
      </x:c>
      <x:c r="M15" s="35" t="str">
        <x:v>部分已有</x:v>
      </x:c>
      <x:c r="N15" s="37" t="str"/>
      <x:c r="O15" s="33" t="str"/>
    </x:row>
    <x:row r="16" ht="86" customHeight="1">
      <x:c r="A16" s="31" t="n">
        <x:v>9</x:v>
      </x:c>
      <x:c r="B16" s="29" t="str">
        <x:v>创业实践 Ventures</x:v>
      </x:c>
      <x:c r="C16" s="29" t="str">
        <x:v>China Camping Club</x:v>
      </x:c>
      <x:c r="D16" s="29" t="str">
        <x:v>ventures.html · 02.05</x:v>
      </x:c>
      <x:c r="E16" s="29" t="str">
        <x:v>[WHY YOU STARTED OR JOINED, HOW THE COMMUNITY GREW, AND WHAT YOU ORGANIZED.]</x:v>
      </x:c>
      <x:c r="F16" s="29" t="str">
        <x:v>英文项目介绍120–180词：成立/加入原因、社群规模、组织活动、风险与后勤管理、社区影响和个人收获。</x:v>
      </x:c>
      <x:c r="G16" s="29" t="str">
        <x:v>campingclub.png；campingclub2.png；campingclub.mp4</x:v>
      </x:c>
      <x:c r="H16" s="29" t="str">
        <x:v>活动时间线；路线/活动海报；成员合照；参与数据；安全说明或活动手册。</x:v>
      </x:c>
      <x:c r="I16" s="29" t="str">
        <x:v>提供照片人物授权；说明本人是发起人、组织者还是成员。</x:v>
      </x:c>
      <x:c r="J16" s="33" t="str"/>
      <x:c r="K16" s="33" t="str"/>
      <x:c r="L16" s="35" t="str">
        <x:v>中</x:v>
      </x:c>
      <x:c r="M16" s="35" t="str">
        <x:v>部分已有</x:v>
      </x:c>
      <x:c r="N16" s="37" t="str"/>
      <x:c r="O16" s="33" t="str"/>
    </x:row>
    <x:row r="17" ht="86" customHeight="1">
      <x:c r="A17" s="31" t="n">
        <x:v>10</x:v>
      </x:c>
      <x:c r="B17" s="29" t="str">
        <x:v>创业实践 Ventures</x:v>
      </x:c>
      <x:c r="C17" s="29" t="str">
        <x:v>Marketing Intern</x:v>
      </x:c>
      <x:c r="D17" s="29" t="str">
        <x:v>ventures.html · 02.06</x:v>
      </x:c>
      <x:c r="E17" s="29" t="str">
        <x:v>[ORGANIZATION, AUDIENCE, RESPONSIBILITIES, CAMPAIGN WORK, AND RESULTS.]</x:v>
      </x:c>
      <x:c r="F17" s="29" t="str">
        <x:v>英文项目介绍150–220词：机构、岗位与时间、目标受众、负责内容、代表活动、可量化结果、技能与反思。</x:v>
      </x:c>
      <x:c r="G17" s="29" t="str">
        <x:v>网页目前误用Calligraphy Club3.jpg</x:v>
      </x:c>
      <x:c r="H17" s="29" t="str">
        <x:v>工作样例3–6项；活动/广告截图；数据结果；实习证明；主管反馈或推荐语（可选）。</x:v>
      </x:c>
      <x:c r="I17" s="29" t="str">
        <x:v>先确认保密要求；对客户/数据做脱敏；明确本人贡献。</x:v>
      </x:c>
      <x:c r="J17" s="33" t="str"/>
      <x:c r="K17" s="33" t="str"/>
      <x:c r="L17" s="35" t="str">
        <x:v>高</x:v>
      </x:c>
      <x:c r="M17" s="35" t="str">
        <x:v>待补充</x:v>
      </x:c>
      <x:c r="N17" s="37" t="str"/>
      <x:c r="O17" s="33" t="str">
        <x:v>当前素材疑似占位，需替换</x:v>
      </x:c>
    </x:row>
    <x:row r="18" ht="86" customHeight="1">
      <x:c r="A18" s="31" t="n">
        <x:v>11</x:v>
      </x:c>
      <x:c r="B18" s="29" t="str">
        <x:v>领导力 Leadership</x:v>
      </x:c>
      <x:c r="C18" s="29" t="str">
        <x:v>Head Prefect</x:v>
      </x:c>
      <x:c r="D18" s="29" t="str">
        <x:v>leadership.html · 03.01</x:v>
      </x:c>
      <x:c r="E18" s="29" t="str">
        <x:v>[WHAT THE ROLE MEANT, WHAT YOU HANDLED, WHAT CHANGED, AND WHAT YOU LEARNED.]</x:v>
      </x:c>
      <x:c r="F18" s="29" t="str">
        <x:v>英文介绍150–220词：任期、选拔方式、职责、代表性事件、困难对话、改进结果和领导力反思。</x:v>
      </x:c>
      <x:c r="G18" s="29" t="str">
        <x:v>Head Prefect.jpg；演讲视频及2张封面</x:v>
      </x:c>
      <x:c r="H18" s="29" t="str">
        <x:v>任命/荣誉证明；活动照片；学生代表演讲；项目成果或数据；推荐语（可选）。</x:v>
      </x:c>
      <x:c r="I18" s="29" t="str">
        <x:v>用具体事件代替泛泛职责；说明影响范围和结果。</x:v>
      </x:c>
      <x:c r="J18" s="33" t="str"/>
      <x:c r="K18" s="33" t="str"/>
      <x:c r="L18" s="35" t="str">
        <x:v>高</x:v>
      </x:c>
      <x:c r="M18" s="35" t="str">
        <x:v>部分已有</x:v>
      </x:c>
      <x:c r="N18" s="37" t="str"/>
      <x:c r="O18" s="33" t="str"/>
    </x:row>
    <x:row r="19" ht="86" customHeight="1">
      <x:c r="A19" s="31" t="n">
        <x:v>12</x:v>
      </x:c>
      <x:c r="B19" s="29" t="str">
        <x:v>领导力 Leadership</x:v>
      </x:c>
      <x:c r="C19" s="29" t="str">
        <x:v>Head Ambassador</x:v>
      </x:c>
      <x:c r="D19" s="29" t="str">
        <x:v>leadership.html · 03.02</x:v>
      </x:c>
      <x:c r="E19" s="29" t="str">
        <x:v>[HOW YOU WELCOMED, REPRESENTED, OR CONNECTED PEOPLE.]</x:v>
      </x:c>
      <x:c r="F19" s="29" t="str">
        <x:v>英文介绍120–180词：服务对象、主要活动、沟通方式、一次具体故事、产生的连接或改变。</x:v>
      </x:c>
      <x:c r="G19" s="29" t="str">
        <x:v>网页目前复用Head Prefect.jpg</x:v>
      </x:c>
      <x:c r="H19" s="29" t="str">
        <x:v>校园开放日/接待照片；演讲视频；活动手册；项目数据或反馈。</x:v>
      </x:c>
      <x:c r="I19" s="29" t="str">
        <x:v>明确与Head Prefect的区别，避免内容重复。</x:v>
      </x:c>
      <x:c r="J19" s="33" t="str"/>
      <x:c r="K19" s="33" t="str"/>
      <x:c r="L19" s="35" t="str">
        <x:v>中</x:v>
      </x:c>
      <x:c r="M19" s="35" t="str">
        <x:v>待补充</x:v>
      </x:c>
      <x:c r="N19" s="37" t="str"/>
      <x:c r="O19" s="33" t="str">
        <x:v>当前素材不足</x:v>
      </x:c>
    </x:row>
    <x:row r="20" ht="86" customHeight="1">
      <x:c r="A20" s="31" t="n">
        <x:v>13</x:v>
      </x:c>
      <x:c r="B20" s="29" t="str">
        <x:v>领导力 Leadership</x:v>
      </x:c>
      <x:c r="C20" s="29" t="str">
        <x:v>Writing Center Tutor</x:v>
      </x:c>
      <x:c r="D20" s="29" t="str">
        <x:v>leadership.html · 03.03</x:v>
      </x:c>
      <x:c r="E20" s="29" t="str">
        <x:v>[A STORY ABOUT LISTENING, FEEDBACK, AND HELPING ANOTHER WRITER.]</x:v>
      </x:c>
      <x:c r="F20" s="29" t="str">
        <x:v>英文介绍120–180词：辅导对象、方法、一次代表性辅导、如何给予反馈、对方变化与本人反思。</x:v>
      </x:c>
      <x:c r="G20" s="29" t="str">
        <x:v>Writing Center Tutor1–4（4张）</x:v>
      </x:c>
      <x:c r="H20" s="29" t="str">
        <x:v>匿名化的修改前后样例；培训证明；服务时长/人数；学生反馈（经许可）。</x:v>
      </x:c>
      <x:c r="I20" s="29" t="str">
        <x:v>写作样例必须匿名；不要公开他人未经许可的作品。</x:v>
      </x:c>
      <x:c r="J20" s="33" t="str"/>
      <x:c r="K20" s="33" t="str"/>
      <x:c r="L20" s="35" t="str">
        <x:v>中</x:v>
      </x:c>
      <x:c r="M20" s="35" t="str">
        <x:v>部分已有</x:v>
      </x:c>
      <x:c r="N20" s="37" t="str"/>
      <x:c r="O20" s="33" t="str"/>
    </x:row>
    <x:row r="21" ht="86" customHeight="1">
      <x:c r="A21" s="31" t="n">
        <x:v>14</x:v>
      </x:c>
      <x:c r="B21" s="29" t="str">
        <x:v>领导力 Leadership</x:v>
      </x:c>
      <x:c r="C21" s="29" t="str">
        <x:v>Calligraphy Club</x:v>
      </x:c>
      <x:c r="D21" s="29" t="str">
        <x:v>leadership.html · 03.04</x:v>
      </x:c>
      <x:c r="E21" s="29" t="str">
        <x:v>[HOW THE CLUB WAS ORGANIZED AND WHAT MEMBERS MADE TOGETHER.]</x:v>
      </x:c>
      <x:c r="F21" s="29" t="str">
        <x:v>英文介绍120–180词：创办/职务、成员规模、活动组织、教学或创作方式、共同成果、文化意义。</x:v>
      </x:c>
      <x:c r="G21" s="29" t="str">
        <x:v>Club照片1–4；Calligraphy work 1–5（共9张）</x:v>
      </x:c>
      <x:c r="H21" s="29" t="str">
        <x:v>活动海报；成员作品精选；展览/比赛证明；社团数据；英文作品说明。</x:v>
      </x:c>
      <x:c r="I21" s="29" t="str">
        <x:v>每件作品补充英文题名、创作者、媒介、年份；区分本人作品与成员作品。</x:v>
      </x:c>
      <x:c r="J21" s="33" t="str"/>
      <x:c r="K21" s="33" t="str"/>
      <x:c r="L21" s="35" t="str">
        <x:v>中</x:v>
      </x:c>
      <x:c r="M21" s="35" t="str">
        <x:v>部分已有</x:v>
      </x:c>
      <x:c r="N21" s="37" t="str"/>
      <x:c r="O21" s="33" t="str"/>
    </x:row>
    <x:row r="22" ht="86" customHeight="1">
      <x:c r="A22" s="31" t="n">
        <x:v>15</x:v>
      </x:c>
      <x:c r="B22" s="29" t="str">
        <x:v>领导力 Leadership</x:v>
      </x:c>
      <x:c r="C22" s="29" t="str">
        <x:v>Assistance Coach</x:v>
      </x:c>
      <x:c r="D22" s="29" t="str">
        <x:v>leadership.html · 03.05</x:v>
      </x:c>
      <x:c r="E22" s="29" t="str">
        <x:v>[TEAM, RESPONSIBILITIES, AND HOW YOU SUPPORTED OTHERS' DEVELOPMENT.]</x:v>
      </x:c>
      <x:c r="F22" s="29" t="str">
        <x:v>英文介绍120–180词：项目/队伍、辅导对象、训练职责、支持他人成长的实例、观察到的变化。</x:v>
      </x:c>
      <x:c r="G22" s="29" t="str">
        <x:v>网页目前使用soccer3.jpg</x:v>
      </x:c>
      <x:c r="H22" s="29" t="str">
        <x:v>训练照片/视频；训练计划；教练或学员反馈；资格/服务证明。</x:v>
      </x:c>
      <x:c r="I22" s="29" t="str">
        <x:v>确认英文名称建议为Assistant Coach；说明具体运动项目。</x:v>
      </x:c>
      <x:c r="J22" s="33" t="str"/>
      <x:c r="K22" s="33" t="str"/>
      <x:c r="L22" s="35" t="str">
        <x:v>高</x:v>
      </x:c>
      <x:c r="M22" s="35" t="str">
        <x:v>待补充</x:v>
      </x:c>
      <x:c r="N22" s="37" t="str"/>
      <x:c r="O22" s="33" t="str">
        <x:v>标题英文建议修正</x:v>
      </x:c>
    </x:row>
    <x:row r="23" ht="86" customHeight="1">
      <x:c r="A23" s="31" t="n">
        <x:v>16</x:v>
      </x:c>
      <x:c r="B23" s="29" t="str">
        <x:v>领导力 Leadership</x:v>
      </x:c>
      <x:c r="C23" s="29" t="str">
        <x:v>Volunteer Teaching</x:v>
      </x:c>
      <x:c r="D23" s="29" t="str">
        <x:v>leadership.html · 03.06</x:v>
      </x:c>
      <x:c r="E23" s="29" t="str">
        <x:v>[WHAT YOU TAUGHT, HOW YOU ADAPTED, AND WHAT STUDENTS TAUGHT YOU.]</x:v>
      </x:c>
      <x:c r="F23" s="29" t="str">
        <x:v>英文介绍150–220词：地点、时间、学生年龄/人数、教学内容、课程调整、具体课堂故事、互相学习与影响。</x:v>
      </x:c>
      <x:c r="G23" s="29" t="str">
        <x:v>Volunteer Teaching1.jpg；2.jpg；3.jpeg</x:v>
      </x:c>
      <x:c r="H23" s="29" t="str">
        <x:v>教案；课堂照片；服务证明；学生作品/反馈；项目背景说明。</x:v>
      </x:c>
      <x:c r="I23" s="29" t="str">
        <x:v>保护未成年人隐私；确认照片授权；不要披露敏感地点与身份。</x:v>
      </x:c>
      <x:c r="J23" s="33" t="str"/>
      <x:c r="K23" s="33" t="str"/>
      <x:c r="L23" s="35" t="str">
        <x:v>高</x:v>
      </x:c>
      <x:c r="M23" s="35" t="str">
        <x:v>部分已有</x:v>
      </x:c>
      <x:c r="N23" s="37" t="str"/>
      <x:c r="O23" s="33" t="str"/>
    </x:row>
    <x:row r="24" ht="86" customHeight="1">
      <x:c r="A24" s="31" t="n">
        <x:v>17</x:v>
      </x:c>
      <x:c r="B24" s="29" t="str">
        <x:v>领导力 Leadership</x:v>
      </x:c>
      <x:c r="C24" s="29" t="str">
        <x:v>Cooking Club</x:v>
      </x:c>
      <x:c r="D24" s="29" t="str">
        <x:v>leadership.html · 03.07</x:v>
      </x:c>
      <x:c r="E24" s="29" t="str">
        <x:v>[A SPECIFIC STORY ABOUT FOOD, TEAMWORK, CULTURE, AND COMMUNITY.]</x:v>
      </x:c>
      <x:c r="F24" s="29" t="str">
        <x:v>英文介绍120–180词：社团角色、活动形式、一道代表菜/一次活动、分工与文化交流、社群影响。</x:v>
      </x:c>
      <x:c r="G24" s="29" t="str">
        <x:v>网页目前复用Healthy Bowl图片</x:v>
      </x:c>
      <x:c r="H24" s="29" t="str">
        <x:v>烹饪活动照片；成品图；菜单/食谱；活动海报；成员合照。</x:v>
      </x:c>
      <x:c r="I24" s="29" t="str">
        <x:v>明确与Healthy Bowl项目的区别；补充英文菜名与文化背景。</x:v>
      </x:c>
      <x:c r="J24" s="33" t="str"/>
      <x:c r="K24" s="33" t="str"/>
      <x:c r="L24" s="35" t="str">
        <x:v>中</x:v>
      </x:c>
      <x:c r="M24" s="35" t="str">
        <x:v>待补充</x:v>
      </x:c>
      <x:c r="N24" s="37" t="str"/>
      <x:c r="O24" s="33" t="str">
        <x:v>当前素材疑似占位，需替换</x:v>
      </x:c>
    </x:row>
    <x:row r="25" ht="86" customHeight="1">
      <x:c r="A25" s="31" t="n">
        <x:v>18</x:v>
      </x:c>
      <x:c r="B25" s="29" t="str">
        <x:v>视觉创作 Visual</x:v>
      </x:c>
      <x:c r="C25" s="29" t="str">
        <x:v>摄影 Photography</x:v>
      </x:c>
      <x:c r="D25" s="29" t="str">
        <x:v>visual.html · 04.01</x:v>
      </x:c>
      <x:c r="E25" s="29" t="str">
        <x:v>Award-winning work, travel observations from Tibet and elsewhere, and quieter photographs from school and daily life.</x:v>
      </x:c>
      <x:c r="F25" s="29" t="str">
        <x:v>英文总述80–120词：视觉兴趣、常拍主题、观察方法、器材/后期（如重要）、作品选择逻辑。每张作品补英文题名、年份、地点、简短说明和奖项。</x:v>
      </x:c>
      <x:c r="G25" s="29" t="str">
        <x:v>6张JPG作品；多份获奖/投稿PDF</x:v>
      </x:c>
      <x:c r="H25" s="29" t="str">
        <x:v>每张作品原图；奖项名称与年份；比赛链接/证书；作品说明；摄影者本人确认。</x:v>
      </x:c>
      <x:c r="I25" s="29" t="str">
        <x:v>原图建议长边≥3000px；统一色彩与文件名；确认所有作品均为本人拍摄。</x:v>
      </x:c>
      <x:c r="J25" s="33" t="str"/>
      <x:c r="K25" s="33" t="str"/>
      <x:c r="L25" s="35" t="str">
        <x:v>高</x:v>
      </x:c>
      <x:c r="M25" s="35" t="str">
        <x:v>部分已有</x:v>
      </x:c>
      <x:c r="N25" s="37" t="str"/>
      <x:c r="O25" s="33" t="str"/>
    </x:row>
    <x:row r="26" ht="86" customHeight="1">
      <x:c r="A26" s="31" t="n">
        <x:v>19</x:v>
      </x:c>
      <x:c r="B26" s="29" t="str">
        <x:v>视觉创作 Visual</x:v>
      </x:c>
      <x:c r="C26" s="29" t="str">
        <x:v>获奖摄影 Award-winning</x:v>
      </x:c>
      <x:c r="D26" s="29" t="str">
        <x:v>visual.html · 04.01A</x:v>
      </x:c>
      <x:c r="E26" s="29" t="str">
        <x:v>A rainbow suspended over the Grand Canyon; The beauty of prism; The path of blessing</x:v>
      </x:c>
      <x:c r="F26" s="29" t="str">
        <x:v>每件作品英文说明40–80词：拍摄背景、构图/光线、作品意图、奖项及级别。</x:v>
      </x:c>
      <x:c r="G26" s="29" t="str">
        <x:v>3张JPG；相关PDF若干</x:v>
      </x:c>
      <x:c r="H26" s="29" t="str">
        <x:v>获奖证书/官方页面；原始高分辨率文件；作品参赛信息。</x:v>
      </x:c>
      <x:c r="I26" s="29" t="str">
        <x:v>奖项须写官方英文名、主办方、年份和级别。</x:v>
      </x:c>
      <x:c r="J26" s="33" t="str"/>
      <x:c r="K26" s="33" t="str"/>
      <x:c r="L26" s="35" t="str">
        <x:v>高</x:v>
      </x:c>
      <x:c r="M26" s="35" t="str">
        <x:v>部分已有</x:v>
      </x:c>
      <x:c r="N26" s="37" t="str"/>
      <x:c r="O26" s="33" t="str"/>
    </x:row>
    <x:row r="27" ht="86" customHeight="1">
      <x:c r="A27" s="31" t="n">
        <x:v>20</x:v>
      </x:c>
      <x:c r="B27" s="29" t="str">
        <x:v>视觉创作 Visual</x:v>
      </x:c>
      <x:c r="C27" s="29" t="str">
        <x:v>旅行摄影 Tibet &amp; Travel</x:v>
      </x:c>
      <x:c r="D27" s="29" t="str">
        <x:v>visual.html · 04.01B</x:v>
      </x:c>
      <x:c r="E27" s="29" t="str">
        <x:v>Gates of Heaven; Silk Road; Embrace in the Silence</x:v>
      </x:c>
      <x:c r="F27" s="29" t="str">
        <x:v>系列英文说明80–120词；每张作品补地点、年份、人物/场景背景与拍摄意图。</x:v>
      </x:c>
      <x:c r="G27" s="29" t="str">
        <x:v>3张JPG；Gates of Heaven及Embrace相关PDF</x:v>
      </x:c>
      <x:c r="H27" s="29" t="str">
        <x:v>更多同系列候选图；旅行背景说明；人物授权（如可识别）。</x:v>
      </x:c>
      <x:c r="I27" s="29" t="str">
        <x:v>核对地名英文拼写；避免暴露敏感个人信息。</x:v>
      </x:c>
      <x:c r="J27" s="33" t="str"/>
      <x:c r="K27" s="33" t="str"/>
      <x:c r="L27" s="35" t="str">
        <x:v>中</x:v>
      </x:c>
      <x:c r="M27" s="35" t="str">
        <x:v>部分已有</x:v>
      </x:c>
      <x:c r="N27" s="37" t="str"/>
      <x:c r="O27" s="33" t="str"/>
    </x:row>
    <x:row r="28" ht="86" customHeight="1">
      <x:c r="A28" s="31" t="n">
        <x:v>21</x:v>
      </x:c>
      <x:c r="B28" s="29" t="str">
        <x:v>视觉创作 Visual</x:v>
      </x:c>
      <x:c r="C28" s="29" t="str">
        <x:v>校园与日常 Campus &amp; Everyday Life</x:v>
      </x:c>
      <x:c r="D28" s="29" t="str">
        <x:v>visual.html · 04.01C</x:v>
      </x:c>
      <x:c r="E28" s="29" t="str">
        <x:v>Campus &amp; everyday life</x:v>
      </x:c>
      <x:c r="F28" s="29" t="str">
        <x:v>英文系列说明60–100词；每张作品补题名、年份、地点、场景故事。</x:v>
      </x:c>
      <x:c r="G28" s="29" t="str">
        <x:v>网页当前重复使用The beauty of prism与The path of blessing</x:v>
      </x:c>
      <x:c r="H28" s="29" t="str">
        <x:v>独立校园/日常作品4–8张；活动背景和图片说明。</x:v>
      </x:c>
      <x:c r="I28" s="29" t="str">
        <x:v>不建议与获奖摄影重复；优先选择能体现日常观察力的作品。</x:v>
      </x:c>
      <x:c r="J28" s="33" t="str"/>
      <x:c r="K28" s="33" t="str"/>
      <x:c r="L28" s="35" t="str">
        <x:v>中</x:v>
      </x:c>
      <x:c r="M28" s="35" t="str">
        <x:v>待补充</x:v>
      </x:c>
      <x:c r="N28" s="37" t="str"/>
      <x:c r="O28" s="33" t="str">
        <x:v>当前图片重复</x:v>
      </x:c>
    </x:row>
    <x:row r="29" ht="86" customHeight="1">
      <x:c r="A29" s="31" t="n">
        <x:v>22</x:v>
      </x:c>
      <x:c r="B29" s="29" t="str">
        <x:v>视觉创作 Visual</x:v>
      </x:c>
      <x:c r="C29" s="29" t="str">
        <x:v>纪录片 Documentary</x:v>
      </x:c>
      <x:c r="D29" s="29" t="str">
        <x:v>visual.html · 04.02</x:v>
      </x:c>
      <x:c r="E29" s="29" t="str">
        <x:v>[THE SUBJECT, CENTRAL QUESTION, YOUR ROLE, ETHICAL APPROACH, AND WHAT THE PROCESS REVEALED.]</x:v>
      </x:c>
      <x:c r="F29" s="29" t="str">
        <x:v>英文介绍180–260词：主题、中心问题、人物/社区、本人角色、制作过程、伦理处理、发现与反思。</x:v>
      </x:c>
      <x:c r="G29" s="29" t="str">
        <x:v>网页当前使用Volunteer Teaching照片3张</x:v>
      </x:c>
      <x:c r="H29" s="29" t="str">
        <x:v>影片文件/链接；海报；剧照6–10张；幕后照；导演阐述；字幕；Press kit PDF。</x:v>
      </x:c>
      <x:c r="I29" s="29" t="str">
        <x:v>视频建议1080p；提供英文字幕；确认人物肖像、音乐和场地版权。</x:v>
      </x:c>
      <x:c r="J29" s="33" t="str"/>
      <x:c r="K29" s="33" t="str"/>
      <x:c r="L29" s="35" t="str">
        <x:v>高</x:v>
      </x:c>
      <x:c r="M29" s="35" t="str">
        <x:v>待补充</x:v>
      </x:c>
      <x:c r="N29" s="37" t="str"/>
      <x:c r="O29" s="33" t="str">
        <x:v>需确认纪录片是否与支教项目相关</x:v>
      </x:c>
    </x:row>
    <x:row r="30" ht="86" customHeight="1">
      <x:c r="A30" s="31" t="n">
        <x:v>23</x:v>
      </x:c>
      <x:c r="B30" s="29" t="str">
        <x:v>体育 Sports</x:v>
      </x:c>
      <x:c r="C30" s="29" t="str">
        <x:v>Figure Skating</x:v>
      </x:c>
      <x:c r="D30" s="29" t="str">
        <x:v>sports.html · 05.01</x:v>
      </x:c>
      <x:c r="E30" s="29" t="str">
        <x:v>[SKATING JOURNEY, TRAINING ROUTINE, COMPETITIONS, SETBACKS, AND DEVELOPMENT.]</x:v>
      </x:c>
      <x:c r="F30" s="29" t="str">
        <x:v>英文介绍180–260词：起始时间、训练频率、级别/比赛、挑战与挫折、关键突破、坚持带来的成长。</x:v>
      </x:c>
      <x:c r="G30" s="29" t="str">
        <x:v>比赛照片7张；教学助理照片2张；3个视频；3篇媒体报道</x:v>
      </x:c>
      <x:c r="H30" s="29" t="str">
        <x:v>比赛成绩/证书；训练时间线；教练信息/推荐语（可选）；媒体英文摘要。</x:v>
      </x:c>
      <x:c r="I30" s="29" t="str">
        <x:v>列明比赛官方名称、日期、组别、名次；确认媒体链接长期可访问。</x:v>
      </x:c>
      <x:c r="J30" s="33" t="str"/>
      <x:c r="K30" s="33" t="str"/>
      <x:c r="L30" s="35" t="str">
        <x:v>高</x:v>
      </x:c>
      <x:c r="M30" s="35" t="str">
        <x:v>大部分已有</x:v>
      </x:c>
      <x:c r="N30" s="37" t="str"/>
      <x:c r="O30" s="33" t="str"/>
    </x:row>
    <x:row r="31" ht="86" customHeight="1">
      <x:c r="A31" s="31" t="n">
        <x:v>24</x:v>
      </x:c>
      <x:c r="B31" s="29" t="str">
        <x:v>体育 Sports</x:v>
      </x:c>
      <x:c r="C31" s="29" t="str">
        <x:v>Skating Teaching Assistant</x:v>
      </x:c>
      <x:c r="D31" s="29" t="str">
        <x:v>sports.html · 05.01A</x:v>
      </x:c>
      <x:c r="E31" s="29" t="str">
        <x:v>Teaching assistant</x:v>
      </x:c>
      <x:c r="F31" s="29" t="str">
        <x:v>英文介绍100–160词：辅导对象、职责、教学方法、安全管理、帮助学员进步的具体例子。</x:v>
      </x:c>
      <x:c r="G31" s="29" t="str">
        <x:v>2张照片；Skating Teaching Assistant.mp4</x:v>
      </x:c>
      <x:c r="H31" s="29" t="str">
        <x:v>训练计划；学员/教练反馈；服务时长或证明。</x:v>
      </x:c>
      <x:c r="I31" s="29" t="str">
        <x:v>保护未成年人隐私；确认视频公开许可。</x:v>
      </x:c>
      <x:c r="J31" s="33" t="str"/>
      <x:c r="K31" s="33" t="str"/>
      <x:c r="L31" s="35" t="str">
        <x:v>中</x:v>
      </x:c>
      <x:c r="M31" s="35" t="str">
        <x:v>部分已有</x:v>
      </x:c>
      <x:c r="N31" s="37" t="str"/>
      <x:c r="O31" s="33" t="str"/>
    </x:row>
    <x:row r="32" ht="86" customHeight="1">
      <x:c r="A32" s="31" t="n">
        <x:v>25</x:v>
      </x:c>
      <x:c r="B32" s="29" t="str">
        <x:v>体育 Sports</x:v>
      </x:c>
      <x:c r="C32" s="29" t="str">
        <x:v>Soccer</x:v>
      </x:c>
      <x:c r="D32" s="29" t="str">
        <x:v>sports.html · 05.02</x:v>
      </x:c>
      <x:c r="E32" s="29" t="str">
        <x:v>[TEAM, POSITION, TRAINING, A MEMORABLE MATCH, AND WHAT THE SPORT TAUGHT YOU.]</x:v>
      </x:c>
      <x:c r="F32" s="29" t="str">
        <x:v>英文介绍120–180词：球队、位置、训练、代表比赛、个人/团队结果、从运动中学到的内容。</x:v>
      </x:c>
      <x:c r="G32" s="29" t="str">
        <x:v>soccer1–4（4张）</x:v>
      </x:c>
      <x:c r="H32" s="29" t="str">
        <x:v>球队合照；比赛视频；赛程/成绩；教练反馈；奖项或参赛证明。</x:v>
      </x:c>
      <x:c r="I32" s="29" t="str">
        <x:v>注明年份、赛事与本人位置；挑选能辨认本人的图片。</x:v>
      </x:c>
      <x:c r="J32" s="33" t="str"/>
      <x:c r="K32" s="33" t="str"/>
      <x:c r="L32" s="35" t="str">
        <x:v>中</x:v>
      </x:c>
      <x:c r="M32" s="35" t="str">
        <x:v>部分已有</x:v>
      </x:c>
      <x:c r="N32" s="37" t="str"/>
      <x:c r="O32" s="33" t="str"/>
    </x:row>
    <x:row r="33" ht="86" customHeight="1">
      <x:c r="A33" s="32" t="n">
        <x:v>26</x:v>
      </x:c>
      <x:c r="B33" s="30" t="str">
        <x:v>体育 Sports</x:v>
      </x:c>
      <x:c r="C33" s="30" t="str">
        <x:v>Dancing</x:v>
      </x:c>
      <x:c r="D33" s="30" t="str">
        <x:v>sports.html · 05.03</x:v>
      </x:c>
      <x:c r="E33" s="30" t="str">
        <x:v>[JAZZ AND BALLET TRAINING, REHEARSAL PROCESS, AND PERFORMANCE EXPERIENCE.]</x:v>
      </x:c>
      <x:c r="F33" s="30" t="str">
        <x:v>英文介绍120–180词：舞种、学习年限、排练过程、演出经历、挑战、舞蹈对表达与纪律的影响。</x:v>
      </x:c>
      <x:c r="G33" s="30" t="str">
        <x:v>dancing1.png；dancing2.png；dancing3.jpg</x:v>
      </x:c>
      <x:c r="H33" s="30" t="str">
        <x:v>演出视频；节目单；舞台照；培训/比赛证明；作品名称与本人角色。</x:v>
      </x:c>
      <x:c r="I33" s="30" t="str">
        <x:v>当前页面提示视频待补；注明舞种、演出名称、年份和场地。</x:v>
      </x:c>
      <x:c r="J33" s="34" t="str"/>
      <x:c r="K33" s="34" t="str"/>
      <x:c r="L33" s="36" t="str">
        <x:v>高</x:v>
      </x:c>
      <x:c r="M33" s="36" t="str">
        <x:v>部分已有</x:v>
      </x:c>
      <x:c r="N33" s="38" t="str"/>
      <x:c r="O33" s="34" t="str">
        <x:v>缺少舞蹈视频</x:v>
      </x:c>
    </x:row>
  </x:sheetData>
  <x:mergeCells>
    <x:mergeCell ref="A2:O2"/>
    <x:mergeCell ref="A3:O3"/>
  </x:mergeCells>
  <x:conditionalFormatting sqref="M8:M33">
    <x:cfRule type="containsText" dxfId="0" priority="1" operator="containsText" text="待补充"/>
    <x:cfRule type="containsText" dxfId="1" priority="2" operator="containsText" text="待确认"/>
    <x:cfRule type="containsText" dxfId="2" priority="3" operator="containsText" text="已完成"/>
  </x:conditionalFormatting>
  <x:conditionalFormatting sqref="L8:L33">
    <x:cfRule type="containsText" dxfId="3" priority="4" operator="containsText" text="高"/>
  </x:conditionalFormatting>
  <x:dataValidations count="2">
    <x:dataValidation type="list" sqref="L8:L33">
      <x:formula1>"高,中,低"</x:formula1>
    </x:dataValidation>
    <x:dataValidation type="list" sqref="M8:M33">
      <x:formula1>"待补充,待确认,部分已有,大部分已有,已完成,不适用"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3ee3002bcdf4547"/>
  </x:tableParts>
</x:worksheet>
</file>

<file path=xl/worksheets/sheet2.xml><?xml version="1.0" encoding="utf-8"?>
<x:worksheet xmlns:x="http://schemas.openxmlformats.org/spreadsheetml/2006/main">
  <x:sheetViews>
    <x:sheetView workbookViewId="0">
      <x:pane xSplit="2" ySplit="5" topLeftCell="C6" activePane="bottomRight" state="frozen"/>
    </x:sheetView>
  </x:sheetViews>
  <x:sheetFormatPr defaultRowHeight="15"/>
  <x:cols>
    <x:col min="1" max="1" width="20" hidden="0" customWidth="1"/>
    <x:col min="2" max="2" width="28" hidden="0" customWidth="1"/>
    <x:col min="3" max="3" width="34" hidden="0" customWidth="1"/>
    <x:col min="4" max="4" width="12" hidden="0" customWidth="1"/>
    <x:col min="5" max="5" width="68" hidden="0" customWidth="1"/>
    <x:col min="6" max="6" width="16" hidden="0" customWidth="1"/>
    <x:col min="7" max="7" width="44" hidden="0" customWidth="1"/>
  </x:cols>
  <x:sheetData>
    <x:row r="2">
      <x:c r="A2" s="1" t="str">
        <x:v>现有素材索引</x:v>
      </x:c>
    </x:row>
    <x:row r="3">
      <x:c r="A3" s="3" t="str">
        <x:v>自动盘点 assets 目录，共 70 个文件。请在使用前确认版本、版权和公开权限。</x:v>
      </x:c>
    </x:row>
    <x:row r="5" ht="32" customHeight="1">
      <x:c r="A5" s="22" t="str">
        <x:v>大模块</x:v>
      </x:c>
      <x:c r="B5" s="23" t="str">
        <x:v>素材文件夹 / 对应项目</x:v>
      </x:c>
      <x:c r="C5" s="23" t="str">
        <x:v>文件名</x:v>
      </x:c>
      <x:c r="D5" s="23" t="str">
        <x:v>类型</x:v>
      </x:c>
      <x:c r="E5" s="23" t="str">
        <x:v>相对路径</x:v>
      </x:c>
      <x:c r="F5" s="23" t="str">
        <x:v>当前状态</x:v>
      </x:c>
      <x:c r="G5" s="24" t="str">
        <x:v>核对事项</x:v>
      </x:c>
    </x:row>
    <x:row r="6">
      <x:c r="A6" s="42" t="str">
        <x:v>通用文件 Documents</x:v>
      </x:c>
      <x:c r="B6" s="42" t="str">
        <x:v>[RESEARCH-PAPER].pdf</x:v>
      </x:c>
      <x:c r="C6" s="42" t="str">
        <x:v>[RESEARCH-PAPER].pdf</x:v>
      </x:c>
      <x:c r="D6" s="42" t="str">
        <x:v>PDF</x:v>
      </x:c>
      <x:c r="E6" s="42" t="str">
        <x:v>assets/documents/[RESEARCH-PAPER].pdf</x:v>
      </x:c>
      <x:c r="F6" s="42" t="str">
        <x:v>已在素材目录</x:v>
      </x:c>
      <x:c r="G6" s="42" t="str">
        <x:v>请核对是否最终版本、是否可公开、是否需要英文说明</x:v>
      </x:c>
    </x:row>
    <x:row r="7">
      <x:c r="A7" s="42" t="str">
        <x:v>通用文件 Documents</x:v>
      </x:c>
      <x:c r="B7" s="42" t="str">
        <x:v>resume.pdf</x:v>
      </x:c>
      <x:c r="C7" s="42" t="str">
        <x:v>resume.pdf</x:v>
      </x:c>
      <x:c r="D7" s="42" t="str">
        <x:v>PDF</x:v>
      </x:c>
      <x:c r="E7" s="42" t="str">
        <x:v>assets/documents/resume.pdf</x:v>
      </x:c>
      <x:c r="F7" s="42" t="str">
        <x:v>已在素材目录</x:v>
      </x:c>
      <x:c r="G7" s="42" t="str">
        <x:v>请核对是否最终版本、是否可公开、是否需要英文说明</x:v>
      </x:c>
    </x:row>
    <x:row r="8">
      <x:c r="A8" s="42" t="str">
        <x:v>首页 Home</x:v>
      </x:c>
      <x:c r="B8" s="42" t="str">
        <x:v>student-representative-highlights</x:v>
      </x:c>
      <x:c r="C8" s="42" t="str">
        <x:v>Student Representative Speech-cover.jpg</x:v>
      </x:c>
      <x:c r="D8" s="42" t="str">
        <x:v>图片</x:v>
      </x:c>
      <x:c r="E8" s="42" t="str">
        <x:v>assets/home/student-representative-highlights/Student Representative Speech-cover.jpg</x:v>
      </x:c>
      <x:c r="F8" s="42" t="str">
        <x:v>已在素材目录</x:v>
      </x:c>
      <x:c r="G8" s="42" t="str">
        <x:v>请核对是否最终版本、是否可公开、是否需要英文说明</x:v>
      </x:c>
    </x:row>
    <x:row r="9">
      <x:c r="A9" s="42" t="str">
        <x:v>首页 Home</x:v>
      </x:c>
      <x:c r="B9" s="42" t="str">
        <x:v>student-representative-highlights</x:v>
      </x:c>
      <x:c r="C9" s="42" t="str">
        <x:v>student-representative-highlights-cover.jpg</x:v>
      </x:c>
      <x:c r="D9" s="42" t="str">
        <x:v>图片</x:v>
      </x:c>
      <x:c r="E9" s="42" t="str">
        <x:v>assets/home/student-representative-highlights/student-representative-highlights-cover.jpg</x:v>
      </x:c>
      <x:c r="F9" s="42" t="str">
        <x:v>已在素材目录</x:v>
      </x:c>
      <x:c r="G9" s="42" t="str">
        <x:v>请核对是否最终版本、是否可公开、是否需要英文说明</x:v>
      </x:c>
    </x:row>
    <x:row r="10">
      <x:c r="A10" s="42" t="str">
        <x:v>首页 Home</x:v>
      </x:c>
      <x:c r="B10" s="42" t="str">
        <x:v>student-representative-highlights</x:v>
      </x:c>
      <x:c r="C10" s="42" t="str">
        <x:v>student-representative-highlights.mp4</x:v>
      </x:c>
      <x:c r="D10" s="42" t="str">
        <x:v>视频</x:v>
      </x:c>
      <x:c r="E10" s="42" t="str">
        <x:v>assets/home/student-representative-highlights/student-representative-highlights.mp4</x:v>
      </x:c>
      <x:c r="F10" s="42" t="str">
        <x:v>已在素材目录</x:v>
      </x:c>
      <x:c r="G10" s="42" t="str">
        <x:v>请核对是否最终版本、是否可公开、是否需要英文说明</x:v>
      </x:c>
    </x:row>
    <x:row r="11">
      <x:c r="A11" s="42" t="str">
        <x:v>领导力 Leadership</x:v>
      </x:c>
      <x:c r="B11" s="42" t="str">
        <x:v>Calligraphy Club</x:v>
      </x:c>
      <x:c r="C11" s="42" t="str">
        <x:v>Calligraphy Club1.jpg</x:v>
      </x:c>
      <x:c r="D11" s="42" t="str">
        <x:v>图片</x:v>
      </x:c>
      <x:c r="E11" s="42" t="str">
        <x:v>assets/leadership/Calligraphy Club/Calligraphy Club1.jpg</x:v>
      </x:c>
      <x:c r="F11" s="42" t="str">
        <x:v>已在素材目录</x:v>
      </x:c>
      <x:c r="G11" s="42" t="str">
        <x:v>请核对是否最终版本、是否可公开、是否需要英文说明</x:v>
      </x:c>
    </x:row>
    <x:row r="12">
      <x:c r="A12" s="42" t="str">
        <x:v>领导力 Leadership</x:v>
      </x:c>
      <x:c r="B12" s="42" t="str">
        <x:v>Calligraphy Club</x:v>
      </x:c>
      <x:c r="C12" s="42" t="str">
        <x:v>Calligraphy Club2.jpg</x:v>
      </x:c>
      <x:c r="D12" s="42" t="str">
        <x:v>图片</x:v>
      </x:c>
      <x:c r="E12" s="42" t="str">
        <x:v>assets/leadership/Calligraphy Club/Calligraphy Club2.jpg</x:v>
      </x:c>
      <x:c r="F12" s="42" t="str">
        <x:v>已在素材目录</x:v>
      </x:c>
      <x:c r="G12" s="42" t="str">
        <x:v>请核对是否最终版本、是否可公开、是否需要英文说明</x:v>
      </x:c>
    </x:row>
    <x:row r="13">
      <x:c r="A13" s="42" t="str">
        <x:v>领导力 Leadership</x:v>
      </x:c>
      <x:c r="B13" s="42" t="str">
        <x:v>Calligraphy Club</x:v>
      </x:c>
      <x:c r="C13" s="42" t="str">
        <x:v>Calligraphy Club3.jpg</x:v>
      </x:c>
      <x:c r="D13" s="42" t="str">
        <x:v>图片</x:v>
      </x:c>
      <x:c r="E13" s="42" t="str">
        <x:v>assets/leadership/Calligraphy Club/Calligraphy Club3.jpg</x:v>
      </x:c>
      <x:c r="F13" s="42" t="str">
        <x:v>已在素材目录</x:v>
      </x:c>
      <x:c r="G13" s="42" t="str">
        <x:v>请核对是否最终版本、是否可公开、是否需要英文说明</x:v>
      </x:c>
    </x:row>
    <x:row r="14">
      <x:c r="A14" s="42" t="str">
        <x:v>领导力 Leadership</x:v>
      </x:c>
      <x:c r="B14" s="42" t="str">
        <x:v>Calligraphy Club</x:v>
      </x:c>
      <x:c r="C14" s="42" t="str">
        <x:v>Calligraphy Club4.JPG</x:v>
      </x:c>
      <x:c r="D14" s="42" t="str">
        <x:v>图片</x:v>
      </x:c>
      <x:c r="E14" s="42" t="str">
        <x:v>assets/leadership/Calligraphy Club/Calligraphy Club4.JPG</x:v>
      </x:c>
      <x:c r="F14" s="42" t="str">
        <x:v>已在素材目录</x:v>
      </x:c>
      <x:c r="G14" s="42" t="str">
        <x:v>请核对是否最终版本、是否可公开、是否需要英文说明</x:v>
      </x:c>
    </x:row>
    <x:row r="15">
      <x:c r="A15" s="42" t="str">
        <x:v>领导力 Leadership</x:v>
      </x:c>
      <x:c r="B15" s="42" t="str">
        <x:v>Calligraphy Club</x:v>
      </x:c>
      <x:c r="C15" s="42" t="str">
        <x:v>Calligraphy work 1.jpg</x:v>
      </x:c>
      <x:c r="D15" s="42" t="str">
        <x:v>图片</x:v>
      </x:c>
      <x:c r="E15" s="42" t="str">
        <x:v>assets/leadership/Calligraphy Club/Calligraphy work 1.jpg</x:v>
      </x:c>
      <x:c r="F15" s="42" t="str">
        <x:v>已在素材目录</x:v>
      </x:c>
      <x:c r="G15" s="42" t="str">
        <x:v>请核对是否最终版本、是否可公开、是否需要英文说明</x:v>
      </x:c>
    </x:row>
    <x:row r="16">
      <x:c r="A16" s="42" t="str">
        <x:v>领导力 Leadership</x:v>
      </x:c>
      <x:c r="B16" s="42" t="str">
        <x:v>Calligraphy Club</x:v>
      </x:c>
      <x:c r="C16" s="42" t="str">
        <x:v>Calligraphy work 2.jpg</x:v>
      </x:c>
      <x:c r="D16" s="42" t="str">
        <x:v>图片</x:v>
      </x:c>
      <x:c r="E16" s="42" t="str">
        <x:v>assets/leadership/Calligraphy Club/Calligraphy work 2.jpg</x:v>
      </x:c>
      <x:c r="F16" s="42" t="str">
        <x:v>已在素材目录</x:v>
      </x:c>
      <x:c r="G16" s="42" t="str">
        <x:v>请核对是否最终版本、是否可公开、是否需要英文说明</x:v>
      </x:c>
    </x:row>
    <x:row r="17">
      <x:c r="A17" s="42" t="str">
        <x:v>领导力 Leadership</x:v>
      </x:c>
      <x:c r="B17" s="42" t="str">
        <x:v>Calligraphy Club</x:v>
      </x:c>
      <x:c r="C17" s="42" t="str">
        <x:v>Calligraphy work 3.jpg</x:v>
      </x:c>
      <x:c r="D17" s="42" t="str">
        <x:v>图片</x:v>
      </x:c>
      <x:c r="E17" s="42" t="str">
        <x:v>assets/leadership/Calligraphy Club/Calligraphy work 3.jpg</x:v>
      </x:c>
      <x:c r="F17" s="42" t="str">
        <x:v>已在素材目录</x:v>
      </x:c>
      <x:c r="G17" s="42" t="str">
        <x:v>请核对是否最终版本、是否可公开、是否需要英文说明</x:v>
      </x:c>
    </x:row>
    <x:row r="18">
      <x:c r="A18" s="42" t="str">
        <x:v>领导力 Leadership</x:v>
      </x:c>
      <x:c r="B18" s="42" t="str">
        <x:v>Calligraphy Club</x:v>
      </x:c>
      <x:c r="C18" s="42" t="str">
        <x:v>Calligraphy work 4.jpg</x:v>
      </x:c>
      <x:c r="D18" s="42" t="str">
        <x:v>图片</x:v>
      </x:c>
      <x:c r="E18" s="42" t="str">
        <x:v>assets/leadership/Calligraphy Club/Calligraphy work 4.jpg</x:v>
      </x:c>
      <x:c r="F18" s="42" t="str">
        <x:v>已在素材目录</x:v>
      </x:c>
      <x:c r="G18" s="42" t="str">
        <x:v>请核对是否最终版本、是否可公开、是否需要英文说明</x:v>
      </x:c>
    </x:row>
    <x:row r="19">
      <x:c r="A19" s="42" t="str">
        <x:v>领导力 Leadership</x:v>
      </x:c>
      <x:c r="B19" s="42" t="str">
        <x:v>Calligraphy Club</x:v>
      </x:c>
      <x:c r="C19" s="42" t="str">
        <x:v>Calligraphy work 5.jpg</x:v>
      </x:c>
      <x:c r="D19" s="42" t="str">
        <x:v>图片</x:v>
      </x:c>
      <x:c r="E19" s="42" t="str">
        <x:v>assets/leadership/Calligraphy Club/Calligraphy work 5.jpg</x:v>
      </x:c>
      <x:c r="F19" s="42" t="str">
        <x:v>已在素材目录</x:v>
      </x:c>
      <x:c r="G19" s="42" t="str">
        <x:v>请核对是否最终版本、是否可公开、是否需要英文说明</x:v>
      </x:c>
    </x:row>
    <x:row r="20">
      <x:c r="A20" s="42" t="str">
        <x:v>领导力 Leadership</x:v>
      </x:c>
      <x:c r="B20" s="42" t="str">
        <x:v>Head Prefect</x:v>
      </x:c>
      <x:c r="C20" s="42" t="str">
        <x:v>Head Prefect.jpg</x:v>
      </x:c>
      <x:c r="D20" s="42" t="str">
        <x:v>图片</x:v>
      </x:c>
      <x:c r="E20" s="42" t="str">
        <x:v>assets/leadership/Head Prefect/Head Prefect.jpg</x:v>
      </x:c>
      <x:c r="F20" s="42" t="str">
        <x:v>已在素材目录</x:v>
      </x:c>
      <x:c r="G20" s="42" t="str">
        <x:v>请核对是否最终版本、是否可公开、是否需要英文说明</x:v>
      </x:c>
    </x:row>
    <x:row r="21">
      <x:c r="A21" s="42" t="str">
        <x:v>领导力 Leadership</x:v>
      </x:c>
      <x:c r="B21" s="42" t="str">
        <x:v>Volunteer Teaching</x:v>
      </x:c>
      <x:c r="C21" s="42" t="str">
        <x:v>Volunteer Teaching1.jpg</x:v>
      </x:c>
      <x:c r="D21" s="42" t="str">
        <x:v>图片</x:v>
      </x:c>
      <x:c r="E21" s="42" t="str">
        <x:v>assets/leadership/Volunteer Teaching/Volunteer Teaching1.jpg</x:v>
      </x:c>
      <x:c r="F21" s="42" t="str">
        <x:v>已在素材目录</x:v>
      </x:c>
      <x:c r="G21" s="42" t="str">
        <x:v>请核对是否最终版本、是否可公开、是否需要英文说明</x:v>
      </x:c>
    </x:row>
    <x:row r="22">
      <x:c r="A22" s="42" t="str">
        <x:v>领导力 Leadership</x:v>
      </x:c>
      <x:c r="B22" s="42" t="str">
        <x:v>Volunteer Teaching</x:v>
      </x:c>
      <x:c r="C22" s="42" t="str">
        <x:v>Volunteer Teaching2.jpg</x:v>
      </x:c>
      <x:c r="D22" s="42" t="str">
        <x:v>图片</x:v>
      </x:c>
      <x:c r="E22" s="42" t="str">
        <x:v>assets/leadership/Volunteer Teaching/Volunteer Teaching2.jpg</x:v>
      </x:c>
      <x:c r="F22" s="42" t="str">
        <x:v>已在素材目录</x:v>
      </x:c>
      <x:c r="G22" s="42" t="str">
        <x:v>请核对是否最终版本、是否可公开、是否需要英文说明</x:v>
      </x:c>
    </x:row>
    <x:row r="23">
      <x:c r="A23" s="42" t="str">
        <x:v>领导力 Leadership</x:v>
      </x:c>
      <x:c r="B23" s="42" t="str">
        <x:v>Volunteer Teaching</x:v>
      </x:c>
      <x:c r="C23" s="42" t="str">
        <x:v>Volunteer Teaching3.jpeg</x:v>
      </x:c>
      <x:c r="D23" s="42" t="str">
        <x:v>图片</x:v>
      </x:c>
      <x:c r="E23" s="42" t="str">
        <x:v>assets/leadership/Volunteer Teaching/Volunteer Teaching3.jpeg</x:v>
      </x:c>
      <x:c r="F23" s="42" t="str">
        <x:v>已在素材目录</x:v>
      </x:c>
      <x:c r="G23" s="42" t="str">
        <x:v>请核对是否最终版本、是否可公开、是否需要英文说明</x:v>
      </x:c>
    </x:row>
    <x:row r="24">
      <x:c r="A24" s="42" t="str">
        <x:v>领导力 Leadership</x:v>
      </x:c>
      <x:c r="B24" s="42" t="str">
        <x:v>Writing Center Tutor</x:v>
      </x:c>
      <x:c r="C24" s="42" t="str">
        <x:v>Writing Center Tutor1.jpg</x:v>
      </x:c>
      <x:c r="D24" s="42" t="str">
        <x:v>图片</x:v>
      </x:c>
      <x:c r="E24" s="42" t="str">
        <x:v>assets/leadership/Writing Center Tutor/Writing Center Tutor1.jpg</x:v>
      </x:c>
      <x:c r="F24" s="42" t="str">
        <x:v>已在素材目录</x:v>
      </x:c>
      <x:c r="G24" s="42" t="str">
        <x:v>请核对是否最终版本、是否可公开、是否需要英文说明</x:v>
      </x:c>
    </x:row>
    <x:row r="25">
      <x:c r="A25" s="42" t="str">
        <x:v>领导力 Leadership</x:v>
      </x:c>
      <x:c r="B25" s="42" t="str">
        <x:v>Writing Center Tutor</x:v>
      </x:c>
      <x:c r="C25" s="42" t="str">
        <x:v>Writing Center Tutor2.jpg</x:v>
      </x:c>
      <x:c r="D25" s="42" t="str">
        <x:v>图片</x:v>
      </x:c>
      <x:c r="E25" s="42" t="str">
        <x:v>assets/leadership/Writing Center Tutor/Writing Center Tutor2.jpg</x:v>
      </x:c>
      <x:c r="F25" s="42" t="str">
        <x:v>已在素材目录</x:v>
      </x:c>
      <x:c r="G25" s="42" t="str">
        <x:v>请核对是否最终版本、是否可公开、是否需要英文说明</x:v>
      </x:c>
    </x:row>
    <x:row r="26">
      <x:c r="A26" s="42" t="str">
        <x:v>领导力 Leadership</x:v>
      </x:c>
      <x:c r="B26" s="42" t="str">
        <x:v>Writing Center Tutor</x:v>
      </x:c>
      <x:c r="C26" s="42" t="str">
        <x:v>Writing Center Tutor3.jpg</x:v>
      </x:c>
      <x:c r="D26" s="42" t="str">
        <x:v>图片</x:v>
      </x:c>
      <x:c r="E26" s="42" t="str">
        <x:v>assets/leadership/Writing Center Tutor/Writing Center Tutor3.jpg</x:v>
      </x:c>
      <x:c r="F26" s="42" t="str">
        <x:v>已在素材目录</x:v>
      </x:c>
      <x:c r="G26" s="42" t="str">
        <x:v>请核对是否最终版本、是否可公开、是否需要英文说明</x:v>
      </x:c>
    </x:row>
    <x:row r="27">
      <x:c r="A27" s="42" t="str">
        <x:v>领导力 Leadership</x:v>
      </x:c>
      <x:c r="B27" s="42" t="str">
        <x:v>Writing Center Tutor</x:v>
      </x:c>
      <x:c r="C27" s="42" t="str">
        <x:v>Writing Center Tutor4.JPG</x:v>
      </x:c>
      <x:c r="D27" s="42" t="str">
        <x:v>图片</x:v>
      </x:c>
      <x:c r="E27" s="42" t="str">
        <x:v>assets/leadership/Writing Center Tutor/Writing Center Tutor4.JPG</x:v>
      </x:c>
      <x:c r="F27" s="42" t="str">
        <x:v>已在素材目录</x:v>
      </x:c>
      <x:c r="G27" s="42" t="str">
        <x:v>请核对是否最终版本、是否可公开、是否需要英文说明</x:v>
      </x:c>
    </x:row>
    <x:row r="28">
      <x:c r="A28" s="42" t="str">
        <x:v>体育 Sports</x:v>
      </x:c>
      <x:c r="B28" s="42" t="str">
        <x:v>dancing</x:v>
      </x:c>
      <x:c r="C28" s="42" t="str">
        <x:v>dancing1.png</x:v>
      </x:c>
      <x:c r="D28" s="42" t="str">
        <x:v>图片</x:v>
      </x:c>
      <x:c r="E28" s="42" t="str">
        <x:v>assets/sports/dancing/dancing1.png</x:v>
      </x:c>
      <x:c r="F28" s="42" t="str">
        <x:v>已在素材目录</x:v>
      </x:c>
      <x:c r="G28" s="42" t="str">
        <x:v>请核对是否最终版本、是否可公开、是否需要英文说明</x:v>
      </x:c>
    </x:row>
    <x:row r="29">
      <x:c r="A29" s="42" t="str">
        <x:v>体育 Sports</x:v>
      </x:c>
      <x:c r="B29" s="42" t="str">
        <x:v>dancing</x:v>
      </x:c>
      <x:c r="C29" s="42" t="str">
        <x:v>dancing2.png</x:v>
      </x:c>
      <x:c r="D29" s="42" t="str">
        <x:v>图片</x:v>
      </x:c>
      <x:c r="E29" s="42" t="str">
        <x:v>assets/sports/dancing/dancing2.png</x:v>
      </x:c>
      <x:c r="F29" s="42" t="str">
        <x:v>已在素材目录</x:v>
      </x:c>
      <x:c r="G29" s="42" t="str">
        <x:v>请核对是否最终版本、是否可公开、是否需要英文说明</x:v>
      </x:c>
    </x:row>
    <x:row r="30">
      <x:c r="A30" s="42" t="str">
        <x:v>体育 Sports</x:v>
      </x:c>
      <x:c r="B30" s="42" t="str">
        <x:v>dancing</x:v>
      </x:c>
      <x:c r="C30" s="42" t="str">
        <x:v>dancing3.jpg</x:v>
      </x:c>
      <x:c r="D30" s="42" t="str">
        <x:v>图片</x:v>
      </x:c>
      <x:c r="E30" s="42" t="str">
        <x:v>assets/sports/dancing/dancing3.jpg</x:v>
      </x:c>
      <x:c r="F30" s="42" t="str">
        <x:v>已在素材目录</x:v>
      </x:c>
      <x:c r="G30" s="42" t="str">
        <x:v>请核对是否最终版本、是否可公开、是否需要英文说明</x:v>
      </x:c>
    </x:row>
    <x:row r="31">
      <x:c r="A31" s="42" t="str">
        <x:v>体育 Sports</x:v>
      </x:c>
      <x:c r="B31" s="42" t="str">
        <x:v>fgure skating</x:v>
      </x:c>
      <x:c r="C31" s="42" t="str">
        <x:v>Figure skating competition interview.mp4</x:v>
      </x:c>
      <x:c r="D31" s="42" t="str">
        <x:v>视频</x:v>
      </x:c>
      <x:c r="E31" s="42" t="str">
        <x:v>assets/sports/fgure skating/Figure skating competition interview.mp4</x:v>
      </x:c>
      <x:c r="F31" s="42" t="str">
        <x:v>已在素材目录</x:v>
      </x:c>
      <x:c r="G31" s="42" t="str">
        <x:v>请核对是否最终版本、是否可公开、是否需要英文说明</x:v>
      </x:c>
    </x:row>
    <x:row r="32">
      <x:c r="A32" s="42" t="str">
        <x:v>体育 Sports</x:v>
      </x:c>
      <x:c r="B32" s="42" t="str">
        <x:v>fgure skating</x:v>
      </x:c>
      <x:c r="C32" s="42" t="str">
        <x:v>Skating Teaching Assistant.mp4</x:v>
      </x:c>
      <x:c r="D32" s="42" t="str">
        <x:v>视频</x:v>
      </x:c>
      <x:c r="E32" s="42" t="str">
        <x:v>assets/sports/fgure skating/Skating Teaching Assistant.mp4</x:v>
      </x:c>
      <x:c r="F32" s="42" t="str">
        <x:v>已在素材目录</x:v>
      </x:c>
      <x:c r="G32" s="42" t="str">
        <x:v>请核对是否最终版本、是否可公开、是否需要英文说明</x:v>
      </x:c>
    </x:row>
    <x:row r="33">
      <x:c r="A33" s="42" t="str">
        <x:v>体育 Sports</x:v>
      </x:c>
      <x:c r="B33" s="42" t="str">
        <x:v>fgure skating</x:v>
      </x:c>
      <x:c r="C33" s="42" t="str">
        <x:v>Skating Teaching Assistant1.jpg</x:v>
      </x:c>
      <x:c r="D33" s="42" t="str">
        <x:v>图片</x:v>
      </x:c>
      <x:c r="E33" s="42" t="str">
        <x:v>assets/sports/fgure skating/Skating Teaching Assistant1.jpg</x:v>
      </x:c>
      <x:c r="F33" s="42" t="str">
        <x:v>已在素材目录</x:v>
      </x:c>
      <x:c r="G33" s="42" t="str">
        <x:v>请核对是否最终版本、是否可公开、是否需要英文说明</x:v>
      </x:c>
    </x:row>
    <x:row r="34">
      <x:c r="A34" s="42" t="str">
        <x:v>体育 Sports</x:v>
      </x:c>
      <x:c r="B34" s="42" t="str">
        <x:v>fgure skating</x:v>
      </x:c>
      <x:c r="C34" s="42" t="str">
        <x:v>Skating Teaching Assistant2.jpg</x:v>
      </x:c>
      <x:c r="D34" s="42" t="str">
        <x:v>图片</x:v>
      </x:c>
      <x:c r="E34" s="42" t="str">
        <x:v>assets/sports/fgure skating/Skating Teaching Assistant2.jpg</x:v>
      </x:c>
      <x:c r="F34" s="42" t="str">
        <x:v>已在素材目录</x:v>
      </x:c>
      <x:c r="G34" s="42" t="str">
        <x:v>请核对是否最终版本、是否可公开、是否需要英文说明</x:v>
      </x:c>
    </x:row>
    <x:row r="35">
      <x:c r="A35" s="42" t="str">
        <x:v>体育 Sports</x:v>
      </x:c>
      <x:c r="B35" s="42" t="str">
        <x:v>fgure skating</x:v>
      </x:c>
      <x:c r="C35" s="42" t="str">
        <x:v>skating.mp4</x:v>
      </x:c>
      <x:c r="D35" s="42" t="str">
        <x:v>视频</x:v>
      </x:c>
      <x:c r="E35" s="42" t="str">
        <x:v>assets/sports/fgure skating/skating.mp4</x:v>
      </x:c>
      <x:c r="F35" s="42" t="str">
        <x:v>已在素材目录</x:v>
      </x:c>
      <x:c r="G35" s="42" t="str">
        <x:v>请核对是否最终版本、是否可公开、是否需要英文说明</x:v>
      </x:c>
    </x:row>
    <x:row r="36">
      <x:c r="A36" s="42" t="str">
        <x:v>体育 Sports</x:v>
      </x:c>
      <x:c r="B36" s="42" t="str">
        <x:v>fgure skating</x:v>
      </x:c>
      <x:c r="C36" s="42" t="str">
        <x:v>skating10.jpg</x:v>
      </x:c>
      <x:c r="D36" s="42" t="str">
        <x:v>图片</x:v>
      </x:c>
      <x:c r="E36" s="42" t="str">
        <x:v>assets/sports/fgure skating/skating10.jpg</x:v>
      </x:c>
      <x:c r="F36" s="42" t="str">
        <x:v>已在素材目录</x:v>
      </x:c>
      <x:c r="G36" s="42" t="str">
        <x:v>请核对是否最终版本、是否可公开、是否需要英文说明</x:v>
      </x:c>
    </x:row>
    <x:row r="37">
      <x:c r="A37" s="42" t="str">
        <x:v>体育 Sports</x:v>
      </x:c>
      <x:c r="B37" s="42" t="str">
        <x:v>fgure skating</x:v>
      </x:c>
      <x:c r="C37" s="42" t="str">
        <x:v>skating3.jpeg</x:v>
      </x:c>
      <x:c r="D37" s="42" t="str">
        <x:v>图片</x:v>
      </x:c>
      <x:c r="E37" s="42" t="str">
        <x:v>assets/sports/fgure skating/skating3.jpeg</x:v>
      </x:c>
      <x:c r="F37" s="42" t="str">
        <x:v>已在素材目录</x:v>
      </x:c>
      <x:c r="G37" s="42" t="str">
        <x:v>请核对是否最终版本、是否可公开、是否需要英文说明</x:v>
      </x:c>
    </x:row>
    <x:row r="38">
      <x:c r="A38" s="42" t="str">
        <x:v>体育 Sports</x:v>
      </x:c>
      <x:c r="B38" s="42" t="str">
        <x:v>fgure skating</x:v>
      </x:c>
      <x:c r="C38" s="42" t="str">
        <x:v>skating4.png</x:v>
      </x:c>
      <x:c r="D38" s="42" t="str">
        <x:v>图片</x:v>
      </x:c>
      <x:c r="E38" s="42" t="str">
        <x:v>assets/sports/fgure skating/skating4.png</x:v>
      </x:c>
      <x:c r="F38" s="42" t="str">
        <x:v>已在素材目录</x:v>
      </x:c>
      <x:c r="G38" s="42" t="str">
        <x:v>请核对是否最终版本、是否可公开、是否需要英文说明</x:v>
      </x:c>
    </x:row>
    <x:row r="39">
      <x:c r="A39" s="42" t="str">
        <x:v>体育 Sports</x:v>
      </x:c>
      <x:c r="B39" s="42" t="str">
        <x:v>fgure skating</x:v>
      </x:c>
      <x:c r="C39" s="42" t="str">
        <x:v>skating5.png</x:v>
      </x:c>
      <x:c r="D39" s="42" t="str">
        <x:v>图片</x:v>
      </x:c>
      <x:c r="E39" s="42" t="str">
        <x:v>assets/sports/fgure skating/skating5.png</x:v>
      </x:c>
      <x:c r="F39" s="42" t="str">
        <x:v>已在素材目录</x:v>
      </x:c>
      <x:c r="G39" s="42" t="str">
        <x:v>请核对是否最终版本、是否可公开、是否需要英文说明</x:v>
      </x:c>
    </x:row>
    <x:row r="40">
      <x:c r="A40" s="42" t="str">
        <x:v>体育 Sports</x:v>
      </x:c>
      <x:c r="B40" s="42" t="str">
        <x:v>fgure skating</x:v>
      </x:c>
      <x:c r="C40" s="42" t="str">
        <x:v>skating6.jpg</x:v>
      </x:c>
      <x:c r="D40" s="42" t="str">
        <x:v>图片</x:v>
      </x:c>
      <x:c r="E40" s="42" t="str">
        <x:v>assets/sports/fgure skating/skating6.jpg</x:v>
      </x:c>
      <x:c r="F40" s="42" t="str">
        <x:v>已在素材目录</x:v>
      </x:c>
      <x:c r="G40" s="42" t="str">
        <x:v>请核对是否最终版本、是否可公开、是否需要英文说明</x:v>
      </x:c>
    </x:row>
    <x:row r="41">
      <x:c r="A41" s="42" t="str">
        <x:v>体育 Sports</x:v>
      </x:c>
      <x:c r="B41" s="42" t="str">
        <x:v>fgure skating</x:v>
      </x:c>
      <x:c r="C41" s="42" t="str">
        <x:v>skating6.png</x:v>
      </x:c>
      <x:c r="D41" s="42" t="str">
        <x:v>图片</x:v>
      </x:c>
      <x:c r="E41" s="42" t="str">
        <x:v>assets/sports/fgure skating/skating6.png</x:v>
      </x:c>
      <x:c r="F41" s="42" t="str">
        <x:v>已在素材目录</x:v>
      </x:c>
      <x:c r="G41" s="42" t="str">
        <x:v>请核对是否最终版本、是否可公开、是否需要英文说明</x:v>
      </x:c>
    </x:row>
    <x:row r="42">
      <x:c r="A42" s="42" t="str">
        <x:v>体育 Sports</x:v>
      </x:c>
      <x:c r="B42" s="42" t="str">
        <x:v>fgure skating</x:v>
      </x:c>
      <x:c r="C42" s="42" t="str">
        <x:v>skating7.png</x:v>
      </x:c>
      <x:c r="D42" s="42" t="str">
        <x:v>图片</x:v>
      </x:c>
      <x:c r="E42" s="42" t="str">
        <x:v>assets/sports/fgure skating/skating7.png</x:v>
      </x:c>
      <x:c r="F42" s="42" t="str">
        <x:v>已在素材目录</x:v>
      </x:c>
      <x:c r="G42" s="42" t="str">
        <x:v>请核对是否最终版本、是否可公开、是否需要英文说明</x:v>
      </x:c>
    </x:row>
    <x:row r="43">
      <x:c r="A43" s="42" t="str">
        <x:v>体育 Sports</x:v>
      </x:c>
      <x:c r="B43" s="42" t="str">
        <x:v>fgure skating</x:v>
      </x:c>
      <x:c r="C43" s="42" t="str">
        <x:v>skating9.jpg</x:v>
      </x:c>
      <x:c r="D43" s="42" t="str">
        <x:v>图片</x:v>
      </x:c>
      <x:c r="E43" s="42" t="str">
        <x:v>assets/sports/fgure skating/skating9.jpg</x:v>
      </x:c>
      <x:c r="F43" s="42" t="str">
        <x:v>已在素材目录</x:v>
      </x:c>
      <x:c r="G43" s="42" t="str">
        <x:v>请核对是否最终版本、是否可公开、是否需要英文说明</x:v>
      </x:c>
    </x:row>
    <x:row r="44">
      <x:c r="A44" s="42" t="str">
        <x:v>体育 Sports</x:v>
      </x:c>
      <x:c r="B44" s="42" t="str">
        <x:v>soccer</x:v>
      </x:c>
      <x:c r="C44" s="42" t="str">
        <x:v>soccer1.jpg</x:v>
      </x:c>
      <x:c r="D44" s="42" t="str">
        <x:v>图片</x:v>
      </x:c>
      <x:c r="E44" s="42" t="str">
        <x:v>assets/sports/soccer/soccer1.jpg</x:v>
      </x:c>
      <x:c r="F44" s="42" t="str">
        <x:v>已在素材目录</x:v>
      </x:c>
      <x:c r="G44" s="42" t="str">
        <x:v>请核对是否最终版本、是否可公开、是否需要英文说明</x:v>
      </x:c>
    </x:row>
    <x:row r="45">
      <x:c r="A45" s="42" t="str">
        <x:v>体育 Sports</x:v>
      </x:c>
      <x:c r="B45" s="42" t="str">
        <x:v>soccer</x:v>
      </x:c>
      <x:c r="C45" s="42" t="str">
        <x:v>soccer2.jpg</x:v>
      </x:c>
      <x:c r="D45" s="42" t="str">
        <x:v>图片</x:v>
      </x:c>
      <x:c r="E45" s="42" t="str">
        <x:v>assets/sports/soccer/soccer2.jpg</x:v>
      </x:c>
      <x:c r="F45" s="42" t="str">
        <x:v>已在素材目录</x:v>
      </x:c>
      <x:c r="G45" s="42" t="str">
        <x:v>请核对是否最终版本、是否可公开、是否需要英文说明</x:v>
      </x:c>
    </x:row>
    <x:row r="46">
      <x:c r="A46" s="42" t="str">
        <x:v>体育 Sports</x:v>
      </x:c>
      <x:c r="B46" s="42" t="str">
        <x:v>soccer</x:v>
      </x:c>
      <x:c r="C46" s="42" t="str">
        <x:v>soccer3.jpg</x:v>
      </x:c>
      <x:c r="D46" s="42" t="str">
        <x:v>图片</x:v>
      </x:c>
      <x:c r="E46" s="42" t="str">
        <x:v>assets/sports/soccer/soccer3.jpg</x:v>
      </x:c>
      <x:c r="F46" s="42" t="str">
        <x:v>已在素材目录</x:v>
      </x:c>
      <x:c r="G46" s="42" t="str">
        <x:v>请核对是否最终版本、是否可公开、是否需要英文说明</x:v>
      </x:c>
    </x:row>
    <x:row r="47">
      <x:c r="A47" s="42" t="str">
        <x:v>体育 Sports</x:v>
      </x:c>
      <x:c r="B47" s="42" t="str">
        <x:v>soccer</x:v>
      </x:c>
      <x:c r="C47" s="42" t="str">
        <x:v>soccer4.jpg</x:v>
      </x:c>
      <x:c r="D47" s="42" t="str">
        <x:v>图片</x:v>
      </x:c>
      <x:c r="E47" s="42" t="str">
        <x:v>assets/sports/soccer/soccer4.jpg</x:v>
      </x:c>
      <x:c r="F47" s="42" t="str">
        <x:v>已在素材目录</x:v>
      </x:c>
      <x:c r="G47" s="42" t="str">
        <x:v>请核对是否最终版本、是否可公开、是否需要英文说明</x:v>
      </x:c>
    </x:row>
    <x:row r="48">
      <x:c r="A48" s="42" t="str">
        <x:v>体育 Sports</x:v>
      </x:c>
      <x:c r="B48" s="42" t="str">
        <x:v>surfing</x:v>
      </x:c>
      <x:c r="C48" s="42" t="str">
        <x:v>surfing1.jpg</x:v>
      </x:c>
      <x:c r="D48" s="42" t="str">
        <x:v>图片</x:v>
      </x:c>
      <x:c r="E48" s="42" t="str">
        <x:v>assets/sports/surfing/surfing1.jpg</x:v>
      </x:c>
      <x:c r="F48" s="42" t="str">
        <x:v>已在素材目录</x:v>
      </x:c>
      <x:c r="G48" s="42" t="str">
        <x:v>请核对是否最终版本、是否可公开、是否需要英文说明</x:v>
      </x:c>
    </x:row>
    <x:row r="49">
      <x:c r="A49" s="42" t="str">
        <x:v>体育 Sports</x:v>
      </x:c>
      <x:c r="B49" s="42" t="str">
        <x:v>surfing</x:v>
      </x:c>
      <x:c r="C49" s="42" t="str">
        <x:v>surfing2.jpg</x:v>
      </x:c>
      <x:c r="D49" s="42" t="str">
        <x:v>图片</x:v>
      </x:c>
      <x:c r="E49" s="42" t="str">
        <x:v>assets/sports/surfing/surfing2.jpg</x:v>
      </x:c>
      <x:c r="F49" s="42" t="str">
        <x:v>已在素材目录</x:v>
      </x:c>
      <x:c r="G49" s="42" t="str">
        <x:v>请核对是否最终版本、是否可公开、是否需要英文说明</x:v>
      </x:c>
    </x:row>
    <x:row r="50">
      <x:c r="A50" s="42" t="str">
        <x:v>创业实践 Ventures</x:v>
      </x:c>
      <x:c r="B50" s="42" t="str">
        <x:v>BPA</x:v>
      </x:c>
      <x:c r="C50" s="42" t="str">
        <x:v>张曦月-全国铜奖.pdf</x:v>
      </x:c>
      <x:c r="D50" s="42" t="str">
        <x:v>PDF</x:v>
      </x:c>
      <x:c r="E50" s="42" t="str">
        <x:v>assets/ventures/BPA/张曦月-全国铜奖.pdf</x:v>
      </x:c>
      <x:c r="F50" s="42" t="str">
        <x:v>已在素材目录</x:v>
      </x:c>
      <x:c r="G50" s="42" t="str">
        <x:v>请核对是否最终版本、是否可公开、是否需要英文说明</x:v>
      </x:c>
    </x:row>
    <x:row r="51">
      <x:c r="A51" s="42" t="str">
        <x:v>创业实践 Ventures</x:v>
      </x:c>
      <x:c r="B51" s="42" t="str">
        <x:v>BPA</x:v>
      </x:c>
      <x:c r="C51" s="42" t="str">
        <x:v>BPA全球站参与证书.pdf</x:v>
      </x:c>
      <x:c r="D51" s="42" t="str">
        <x:v>PDF</x:v>
      </x:c>
      <x:c r="E51" s="42" t="str">
        <x:v>assets/ventures/BPA/BPA全球站参与证书.pdf</x:v>
      </x:c>
      <x:c r="F51" s="42" t="str">
        <x:v>已在素材目录</x:v>
      </x:c>
      <x:c r="G51" s="42" t="str">
        <x:v>请核对是否最终版本、是否可公开、是否需要英文说明</x:v>
      </x:c>
    </x:row>
    <x:row r="52">
      <x:c r="A52" s="42" t="str">
        <x:v>创业实践 Ventures</x:v>
      </x:c>
      <x:c r="B52" s="42" t="str">
        <x:v>BPA</x:v>
      </x:c>
      <x:c r="C52" s="42" t="str">
        <x:v>IMG_1268.JPG</x:v>
      </x:c>
      <x:c r="D52" s="42" t="str">
        <x:v>图片</x:v>
      </x:c>
      <x:c r="E52" s="42" t="str">
        <x:v>assets/ventures/BPA/IMG_1268.JPG</x:v>
      </x:c>
      <x:c r="F52" s="42" t="str">
        <x:v>已在素材目录</x:v>
      </x:c>
      <x:c r="G52" s="42" t="str">
        <x:v>请核对是否最终版本、是否可公开、是否需要英文说明</x:v>
      </x:c>
    </x:row>
    <x:row r="53">
      <x:c r="A53" s="42" t="str">
        <x:v>创业实践 Ventures</x:v>
      </x:c>
      <x:c r="B53" s="42" t="str">
        <x:v>BPA</x:v>
      </x:c>
      <x:c r="C53" s="42" t="str">
        <x:v>IMG_1269.JPG</x:v>
      </x:c>
      <x:c r="D53" s="42" t="str">
        <x:v>图片</x:v>
      </x:c>
      <x:c r="E53" s="42" t="str">
        <x:v>assets/ventures/BPA/IMG_1269.JPG</x:v>
      </x:c>
      <x:c r="F53" s="42" t="str">
        <x:v>已在素材目录</x:v>
      </x:c>
      <x:c r="G53" s="42" t="str">
        <x:v>请核对是否最终版本、是否可公开、是否需要英文说明</x:v>
      </x:c>
    </x:row>
    <x:row r="54">
      <x:c r="A54" s="42" t="str">
        <x:v>创业实践 Ventures</x:v>
      </x:c>
      <x:c r="B54" s="42" t="str">
        <x:v>BPA</x:v>
      </x:c>
      <x:c r="C54" s="42" t="str">
        <x:v>IMG_7479.HEIC</x:v>
      </x:c>
      <x:c r="D54" s="42" t="str">
        <x:v>图片</x:v>
      </x:c>
      <x:c r="E54" s="42" t="str">
        <x:v>assets/ventures/BPA/IMG_7479.HEIC</x:v>
      </x:c>
      <x:c r="F54" s="42" t="str">
        <x:v>已在素材目录</x:v>
      </x:c>
      <x:c r="G54" s="42" t="str">
        <x:v>请核对是否最终版本、是否可公开、是否需要英文说明</x:v>
      </x:c>
    </x:row>
    <x:row r="55">
      <x:c r="A55" s="42" t="str">
        <x:v>创业实践 Ventures</x:v>
      </x:c>
      <x:c r="B55" s="42" t="str">
        <x:v>BPA</x:v>
      </x:c>
      <x:c r="C55" s="42" t="str">
        <x:v>IMG_7489.JPG</x:v>
      </x:c>
      <x:c r="D55" s="42" t="str">
        <x:v>图片</x:v>
      </x:c>
      <x:c r="E55" s="42" t="str">
        <x:v>assets/ventures/BPA/IMG_7489.JPG</x:v>
      </x:c>
      <x:c r="F55" s="42" t="str">
        <x:v>已在素材目录</x:v>
      </x:c>
      <x:c r="G55" s="42" t="str">
        <x:v>请核对是否最终版本、是否可公开、是否需要英文说明</x:v>
      </x:c>
    </x:row>
    <x:row r="56">
      <x:c r="A56" s="42" t="str">
        <x:v>创业实践 Ventures</x:v>
      </x:c>
      <x:c r="B56" s="42" t="str">
        <x:v>BPA</x:v>
      </x:c>
      <x:c r="C56" s="42" t="str">
        <x:v>IMG_7510.PNG</x:v>
      </x:c>
      <x:c r="D56" s="42" t="str">
        <x:v>图片</x:v>
      </x:c>
      <x:c r="E56" s="42" t="str">
        <x:v>assets/ventures/BPA/IMG_7510.PNG</x:v>
      </x:c>
      <x:c r="F56" s="42" t="str">
        <x:v>已在素材目录</x:v>
      </x:c>
      <x:c r="G56" s="42" t="str">
        <x:v>请核对是否最终版本、是否可公开、是否需要英文说明</x:v>
      </x:c>
    </x:row>
    <x:row r="57">
      <x:c r="A57" s="42" t="str">
        <x:v>创业实践 Ventures</x:v>
      </x:c>
      <x:c r="B57" s="42" t="str">
        <x:v>China Camping Club</x:v>
      </x:c>
      <x:c r="C57" s="42" t="str">
        <x:v>campingclub.mp4</x:v>
      </x:c>
      <x:c r="D57" s="42" t="str">
        <x:v>视频</x:v>
      </x:c>
      <x:c r="E57" s="42" t="str">
        <x:v>assets/ventures/China Camping Club/campingclub.mp4</x:v>
      </x:c>
      <x:c r="F57" s="42" t="str">
        <x:v>已在素材目录</x:v>
      </x:c>
      <x:c r="G57" s="42" t="str">
        <x:v>请核对是否最终版本、是否可公开、是否需要英文说明</x:v>
      </x:c>
    </x:row>
    <x:row r="58">
      <x:c r="A58" s="42" t="str">
        <x:v>创业实践 Ventures</x:v>
      </x:c>
      <x:c r="B58" s="42" t="str">
        <x:v>China Camping Club</x:v>
      </x:c>
      <x:c r="C58" s="42" t="str">
        <x:v>campingclub.png</x:v>
      </x:c>
      <x:c r="D58" s="42" t="str">
        <x:v>图片</x:v>
      </x:c>
      <x:c r="E58" s="42" t="str">
        <x:v>assets/ventures/China Camping Club/campingclub.png</x:v>
      </x:c>
      <x:c r="F58" s="42" t="str">
        <x:v>已在素材目录</x:v>
      </x:c>
      <x:c r="G58" s="42" t="str">
        <x:v>请核对是否最终版本、是否可公开、是否需要英文说明</x:v>
      </x:c>
    </x:row>
    <x:row r="59">
      <x:c r="A59" s="42" t="str">
        <x:v>创业实践 Ventures</x:v>
      </x:c>
      <x:c r="B59" s="42" t="str">
        <x:v>China Camping Club</x:v>
      </x:c>
      <x:c r="C59" s="42" t="str">
        <x:v>campingclub2.png</x:v>
      </x:c>
      <x:c r="D59" s="42" t="str">
        <x:v>图片</x:v>
      </x:c>
      <x:c r="E59" s="42" t="str">
        <x:v>assets/ventures/China Camping Club/campingclub2.png</x:v>
      </x:c>
      <x:c r="F59" s="42" t="str">
        <x:v>已在素材目录</x:v>
      </x:c>
      <x:c r="G59" s="42" t="str">
        <x:v>请核对是否最终版本、是否可公开、是否需要英文说明</x:v>
      </x:c>
    </x:row>
    <x:row r="60">
      <x:c r="A60" s="42" t="str">
        <x:v>创业实践 Ventures</x:v>
      </x:c>
      <x:c r="B60" s="42" t="str">
        <x:v>Jingdezhen Health Bowl</x:v>
      </x:c>
      <x:c r="C60" s="42" t="str">
        <x:v>减肥碗.pdf</x:v>
      </x:c>
      <x:c r="D60" s="42" t="str">
        <x:v>PDF</x:v>
      </x:c>
      <x:c r="E60" s="42" t="str">
        <x:v>assets/ventures/Jingdezhen Health Bowl/减肥碗.pdf</x:v>
      </x:c>
      <x:c r="F60" s="42" t="str">
        <x:v>已在素材目录</x:v>
      </x:c>
      <x:c r="G60" s="42" t="str">
        <x:v>请核对是否最终版本、是否可公开、是否需要英文说明</x:v>
      </x:c>
    </x:row>
    <x:row r="61">
      <x:c r="A61" s="42" t="str">
        <x:v>创业实践 Ventures</x:v>
      </x:c>
      <x:c r="B61" s="42" t="str">
        <x:v>Jingdezhen Health Bowl</x:v>
      </x:c>
      <x:c r="C61" s="42" t="str">
        <x:v>bowls.png</x:v>
      </x:c>
      <x:c r="D61" s="42" t="str">
        <x:v>图片</x:v>
      </x:c>
      <x:c r="E61" s="42" t="str">
        <x:v>assets/ventures/Jingdezhen Health Bowl/bowls.png</x:v>
      </x:c>
      <x:c r="F61" s="42" t="str">
        <x:v>已在素材目录</x:v>
      </x:c>
      <x:c r="G61" s="42" t="str">
        <x:v>请核对是否最终版本、是否可公开、是否需要英文说明</x:v>
      </x:c>
    </x:row>
    <x:row r="62">
      <x:c r="A62" s="42" t="str">
        <x:v>创业实践 Ventures</x:v>
      </x:c>
      <x:c r="B62" s="42" t="str">
        <x:v>Jingdezhen Health Bowl</x:v>
      </x:c>
      <x:c r="C62" s="42" t="str">
        <x:v>Porcelain portion-bowls .JPG</x:v>
      </x:c>
      <x:c r="D62" s="42" t="str">
        <x:v>图片</x:v>
      </x:c>
      <x:c r="E62" s="42" t="str">
        <x:v>assets/ventures/Jingdezhen Health Bowl/Porcelain portion-bowls .JPG</x:v>
      </x:c>
      <x:c r="F62" s="42" t="str">
        <x:v>已在素材目录</x:v>
      </x:c>
      <x:c r="G62" s="42" t="str">
        <x:v>请核对是否最终版本、是否可公开、是否需要英文说明</x:v>
      </x:c>
    </x:row>
    <x:row r="63">
      <x:c r="A63" s="42" t="str">
        <x:v>创业实践 Ventures</x:v>
      </x:c>
      <x:c r="B63" s="42" t="str">
        <x:v>Jingdezhen Health Bowl</x:v>
      </x:c>
      <x:c r="C63" s="42" t="str">
        <x:v>SavorSlim Logo.jpg</x:v>
      </x:c>
      <x:c r="D63" s="42" t="str">
        <x:v>图片</x:v>
      </x:c>
      <x:c r="E63" s="42" t="str">
        <x:v>assets/ventures/Jingdezhen Health Bowl/SavorSlim Logo.jpg</x:v>
      </x:c>
      <x:c r="F63" s="42" t="str">
        <x:v>已在素材目录</x:v>
      </x:c>
      <x:c r="G63" s="42" t="str">
        <x:v>请核对是否最终版本、是否可公开、是否需要英文说明</x:v>
      </x:c>
    </x:row>
    <x:row r="64">
      <x:c r="A64" s="42" t="str">
        <x:v>视觉创作 Visual</x:v>
      </x:c>
      <x:c r="B64" s="42" t="str">
        <x:v>photography</x:v>
      </x:c>
      <x:c r="C64" s="42" t="str">
        <x:v>A rainbow suspended over the Grand Canyon.jpg</x:v>
      </x:c>
      <x:c r="D64" s="42" t="str">
        <x:v>图片</x:v>
      </x:c>
      <x:c r="E64" s="42" t="str">
        <x:v>assets/visual/photography/A rainbow suspended over the Grand Canyon.jpg</x:v>
      </x:c>
      <x:c r="F64" s="42" t="str">
        <x:v>已在素材目录</x:v>
      </x:c>
      <x:c r="G64" s="42" t="str">
        <x:v>请核对是否最终版本、是否可公开、是否需要英文说明</x:v>
      </x:c>
    </x:row>
    <x:row r="65">
      <x:c r="A65" s="42" t="str">
        <x:v>视觉创作 Visual</x:v>
      </x:c>
      <x:c r="B65" s="42" t="str">
        <x:v>photography</x:v>
      </x:c>
      <x:c r="C65" s="42" t="str">
        <x:v>A rainbow suspended over the Grand Canyon.pdf</x:v>
      </x:c>
      <x:c r="D65" s="42" t="str">
        <x:v>PDF</x:v>
      </x:c>
      <x:c r="E65" s="42" t="str">
        <x:v>assets/visual/photography/A rainbow suspended over the Grand Canyon.pdf</x:v>
      </x:c>
      <x:c r="F65" s="42" t="str">
        <x:v>已在素材目录</x:v>
      </x:c>
      <x:c r="G65" s="42" t="str">
        <x:v>请核对是否最终版本、是否可公开、是否需要英文说明</x:v>
      </x:c>
    </x:row>
    <x:row r="66">
      <x:c r="A66" s="42" t="str">
        <x:v>视觉创作 Visual</x:v>
      </x:c>
      <x:c r="B66" s="42" t="str">
        <x:v>photography</x:v>
      </x:c>
      <x:c r="C66" s="42" t="str">
        <x:v>Embrace in the Silence.jpg</x:v>
      </x:c>
      <x:c r="D66" s="42" t="str">
        <x:v>图片</x:v>
      </x:c>
      <x:c r="E66" s="42" t="str">
        <x:v>assets/visual/photography/Embrace in the Silence.jpg</x:v>
      </x:c>
      <x:c r="F66" s="42" t="str">
        <x:v>已在素材目录</x:v>
      </x:c>
      <x:c r="G66" s="42" t="str">
        <x:v>请核对是否最终版本、是否可公开、是否需要英文说明</x:v>
      </x:c>
    </x:row>
    <x:row r="67">
      <x:c r="A67" s="42" t="str">
        <x:v>视觉创作 Visual</x:v>
      </x:c>
      <x:c r="B67" s="42" t="str">
        <x:v>photography</x:v>
      </x:c>
      <x:c r="C67" s="42" t="str">
        <x:v>Embrace in the Silence.pdf</x:v>
      </x:c>
      <x:c r="D67" s="42" t="str">
        <x:v>PDF</x:v>
      </x:c>
      <x:c r="E67" s="42" t="str">
        <x:v>assets/visual/photography/Embrace in the Silence.pdf</x:v>
      </x:c>
      <x:c r="F67" s="42" t="str">
        <x:v>已在素材目录</x:v>
      </x:c>
      <x:c r="G67" s="42" t="str">
        <x:v>请核对是否最终版本、是否可公开、是否需要英文说明</x:v>
      </x:c>
    </x:row>
    <x:row r="68">
      <x:c r="A68" s="42" t="str">
        <x:v>视觉创作 Visual</x:v>
      </x:c>
      <x:c r="B68" s="42" t="str">
        <x:v>photography</x:v>
      </x:c>
      <x:c r="C68" s="42" t="str">
        <x:v>finalMatch_Gates of Heaven.pdf</x:v>
      </x:c>
      <x:c r="D68" s="42" t="str">
        <x:v>PDF</x:v>
      </x:c>
      <x:c r="E68" s="42" t="str">
        <x:v>assets/visual/photography/finalMatch_Gates of Heaven.pdf</x:v>
      </x:c>
      <x:c r="F68" s="42" t="str">
        <x:v>已在素材目录</x:v>
      </x:c>
      <x:c r="G68" s="42" t="str">
        <x:v>请核对是否最终版本、是否可公开、是否需要英文说明</x:v>
      </x:c>
    </x:row>
    <x:row r="69">
      <x:c r="A69" s="42" t="str">
        <x:v>视觉创作 Visual</x:v>
      </x:c>
      <x:c r="B69" s="42" t="str">
        <x:v>photography</x:v>
      </x:c>
      <x:c r="C69" s="42" t="str">
        <x:v>finalMatchEmbrace in the Silence.pdf</x:v>
      </x:c>
      <x:c r="D69" s="42" t="str">
        <x:v>PDF</x:v>
      </x:c>
      <x:c r="E69" s="42" t="str">
        <x:v>assets/visual/photography/finalMatchEmbrace in the Silence.pdf</x:v>
      </x:c>
      <x:c r="F69" s="42" t="str">
        <x:v>已在素材目录</x:v>
      </x:c>
      <x:c r="G69" s="42" t="str">
        <x:v>请核对是否最终版本、是否可公开、是否需要英文说明</x:v>
      </x:c>
    </x:row>
    <x:row r="70">
      <x:c r="A70" s="42" t="str">
        <x:v>视觉创作 Visual</x:v>
      </x:c>
      <x:c r="B70" s="42" t="str">
        <x:v>photography</x:v>
      </x:c>
      <x:c r="C70" s="42" t="str">
        <x:v>finalSocialPracticePdf_200202.pdf</x:v>
      </x:c>
      <x:c r="D70" s="42" t="str">
        <x:v>PDF</x:v>
      </x:c>
      <x:c r="E70" s="42" t="str">
        <x:v>assets/visual/photography/finalSocialPracticePdf_200202.pdf</x:v>
      </x:c>
      <x:c r="F70" s="42" t="str">
        <x:v>已在素材目录</x:v>
      </x:c>
      <x:c r="G70" s="42" t="str">
        <x:v>请核对是否最终版本、是否可公开、是否需要英文说明</x:v>
      </x:c>
    </x:row>
    <x:row r="71">
      <x:c r="A71" s="42" t="str">
        <x:v>视觉创作 Visual</x:v>
      </x:c>
      <x:c r="B71" s="42" t="str">
        <x:v>photography</x:v>
      </x:c>
      <x:c r="C71" s="42" t="str">
        <x:v>Gates of Heaven.jpg</x:v>
      </x:c>
      <x:c r="D71" s="42" t="str">
        <x:v>图片</x:v>
      </x:c>
      <x:c r="E71" s="42" t="str">
        <x:v>assets/visual/photography/Gates of Heaven.jpg</x:v>
      </x:c>
      <x:c r="F71" s="42" t="str">
        <x:v>已在素材目录</x:v>
      </x:c>
      <x:c r="G71" s="42" t="str">
        <x:v>请核对是否最终版本、是否可公开、是否需要英文说明</x:v>
      </x:c>
    </x:row>
    <x:row r="72">
      <x:c r="A72" s="42" t="str">
        <x:v>视觉创作 Visual</x:v>
      </x:c>
      <x:c r="B72" s="42" t="str">
        <x:v>photography</x:v>
      </x:c>
      <x:c r="C72" s="42" t="str">
        <x:v>Gates of Heaven.pdf</x:v>
      </x:c>
      <x:c r="D72" s="42" t="str">
        <x:v>PDF</x:v>
      </x:c>
      <x:c r="E72" s="42" t="str">
        <x:v>assets/visual/photography/Gates of Heaven.pdf</x:v>
      </x:c>
      <x:c r="F72" s="42" t="str">
        <x:v>已在素材目录</x:v>
      </x:c>
      <x:c r="G72" s="42" t="str">
        <x:v>请核对是否最终版本、是否可公开、是否需要英文说明</x:v>
      </x:c>
    </x:row>
    <x:row r="73">
      <x:c r="A73" s="42" t="str">
        <x:v>视觉创作 Visual</x:v>
      </x:c>
      <x:c r="B73" s="42" t="str">
        <x:v>photography</x:v>
      </x:c>
      <x:c r="C73" s="42" t="str">
        <x:v>Silk road.jpg</x:v>
      </x:c>
      <x:c r="D73" s="42" t="str">
        <x:v>图片</x:v>
      </x:c>
      <x:c r="E73" s="42" t="str">
        <x:v>assets/visual/photography/Silk road.jpg</x:v>
      </x:c>
      <x:c r="F73" s="42" t="str">
        <x:v>已在素材目录</x:v>
      </x:c>
      <x:c r="G73" s="42" t="str">
        <x:v>请核对是否最终版本、是否可公开、是否需要英文说明</x:v>
      </x:c>
    </x:row>
    <x:row r="74">
      <x:c r="A74" s="42" t="str">
        <x:v>视觉创作 Visual</x:v>
      </x:c>
      <x:c r="B74" s="42" t="str">
        <x:v>photography</x:v>
      </x:c>
      <x:c r="C74" s="42" t="str">
        <x:v>The beauty of prism.jpg</x:v>
      </x:c>
      <x:c r="D74" s="42" t="str">
        <x:v>图片</x:v>
      </x:c>
      <x:c r="E74" s="42" t="str">
        <x:v>assets/visual/photography/The beauty of prism.jpg</x:v>
      </x:c>
      <x:c r="F74" s="42" t="str">
        <x:v>已在素材目录</x:v>
      </x:c>
      <x:c r="G74" s="42" t="str">
        <x:v>请核对是否最终版本、是否可公开、是否需要英文说明</x:v>
      </x:c>
    </x:row>
    <x:row r="75">
      <x:c r="A75" s="43" t="str">
        <x:v>视觉创作 Visual</x:v>
      </x:c>
      <x:c r="B75" s="43" t="str">
        <x:v>photography</x:v>
      </x:c>
      <x:c r="C75" s="43" t="str">
        <x:v>The path of blessing.jpg</x:v>
      </x:c>
      <x:c r="D75" s="43" t="str">
        <x:v>图片</x:v>
      </x:c>
      <x:c r="E75" s="43" t="str">
        <x:v>assets/visual/photography/The path of blessing.jpg</x:v>
      </x:c>
      <x:c r="F75" s="43" t="str">
        <x:v>已在素材目录</x:v>
      </x:c>
      <x:c r="G75" s="43" t="str">
        <x:v>请核对是否最终版本、是否可公开、是否需要英文说明</x:v>
      </x:c>
    </x:row>
  </x:sheetData>
  <x:mergeCells>
    <x:mergeCell ref="A2:G2"/>
    <x:mergeCell ref="A3:G3"/>
  </x:mergeCells>
  <x:pageMargins left="0.7" right="0.7" top="0.75" bottom="0.75" header="0.3" footer="0.3"/>
  <x:tableParts count="1">
    <x:tablePart xmlns:r="http://schemas.openxmlformats.org/officeDocument/2006/relationships" r:id="R0bafd1c577e34b9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2" hidden="0" customWidth="1"/>
    <x:col min="3" max="3" width="5" hidden="0" customWidth="1"/>
    <x:col min="4" max="4" width="20" hidden="0" customWidth="1"/>
    <x:col min="5" max="5" width="42" hidden="0" customWidth="1"/>
    <x:col min="6" max="6" width="52" hidden="0" customWidth="1"/>
  </x:cols>
  <x:sheetData>
    <x:row r="2">
      <x:c r="A2" s="1" t="str">
        <x:v>填写说明</x:v>
      </x:c>
    </x:row>
    <x:row r="4">
      <x:c r="A4" s="45" t="str">
        <x:v>区域</x:v>
      </x:c>
      <x:c r="B4" s="45" t="str">
        <x:v>填写要求</x:v>
      </x:c>
      <x:c r="D4" s="45" t="str">
        <x:v>交付建议</x:v>
      </x:c>
      <x:c r="E4" s="45" t="str">
        <x:v>推荐命名</x:v>
      </x:c>
      <x:c r="F4" s="45" t="str">
        <x:v>示例</x:v>
      </x:c>
    </x:row>
    <x:row r="5" ht="44" customHeight="1">
      <x:c r="A5" s="29" t="str">
        <x:v>内容负责人</x:v>
      </x:c>
      <x:c r="B5" s="29" t="str">
        <x:v>负责收集事实、起草或审核英文介绍的人。</x:v>
      </x:c>
      <x:c r="D5" s="29" t="str">
        <x:v>英文文案</x:v>
      </x:c>
      <x:c r="E5" s="29" t="str">
        <x:v>模块_子模块_EnglishCopy_v01.docx</x:v>
      </x:c>
      <x:c r="F5" s="29" t="str">
        <x:v>Leadership_HeadPrefect_EnglishCopy_v01.docx</x:v>
      </x:c>
    </x:row>
    <x:row r="6" ht="44" customHeight="1">
      <x:c r="A6" s="29" t="str">
        <x:v>素材负责人</x:v>
      </x:c>
      <x:c r="B6" s="29" t="str">
        <x:v>负责查找、筛选、导出并确认素材授权的人。</x:v>
      </x:c>
      <x:c r="D6" s="29" t="str">
        <x:v>图片</x:v>
      </x:c>
      <x:c r="E6" s="29" t="str">
        <x:v>模块_子模块_序号_年份.jpg</x:v>
      </x:c>
      <x:c r="F6" s="29" t="str">
        <x:v>Sports_FigureSkating_01_2025.jpg</x:v>
      </x:c>
    </x:row>
    <x:row r="7" ht="44" customHeight="1">
      <x:c r="A7" s="29" t="str">
        <x:v>优先级</x:v>
      </x:c>
      <x:c r="B7" s="29" t="str">
        <x:v>高：直接影响网站主要页面或当前存在明显占位；中：已有基础但需补全；低：可后续优化。</x:v>
      </x:c>
      <x:c r="D7" s="29" t="str">
        <x:v>视频</x:v>
      </x:c>
      <x:c r="E7" s="29" t="str">
        <x:v>模块_子模块_内容_年份.mp4</x:v>
      </x:c>
      <x:c r="F7" s="29" t="str">
        <x:v>Home_StudentSpeech_Highlights_2026.mp4</x:v>
      </x:c>
    </x:row>
    <x:row r="8" ht="44" customHeight="1">
      <x:c r="A8" s="29" t="str">
        <x:v>状态</x:v>
      </x:c>
      <x:c r="B8" s="29" t="str">
        <x:v>待补充、待确认、部分已有、大部分已有、已完成或不适用。</x:v>
      </x:c>
      <x:c r="D8" s="29" t="str">
        <x:v>字幕</x:v>
      </x:c>
      <x:c r="E8" s="29" t="str">
        <x:v>与视频同名_en.srt</x:v>
      </x:c>
      <x:c r="F8" s="29" t="str">
        <x:v>Home_StudentSpeech_Highlights_2026_en.srt</x:v>
      </x:c>
    </x:row>
    <x:row r="9" ht="44" customHeight="1">
      <x:c r="A9" s="29" t="str">
        <x:v>英文内容</x:v>
      </x:c>
      <x:c r="B9" s="29" t="str">
        <x:v>请提供可核实的时间、地点、角色、行动、结果与反思；避免只写形容词。</x:v>
      </x:c>
      <x:c r="D9" s="29" t="str">
        <x:v>证明文件</x:v>
      </x:c>
      <x:c r="E9" s="29" t="str">
        <x:v>模块_子模块_证明类型_年份.pdf</x:v>
      </x:c>
      <x:c r="F9" s="29" t="str">
        <x:v>Ventures_BPA_AwardCertificate_2026.pdf</x:v>
      </x:c>
    </x:row>
    <x:row r="10" ht="44" customHeight="1">
      <x:c r="A10" s="29" t="str">
        <x:v>图片</x:v>
      </x:c>
      <x:c r="B10" s="29" t="str">
        <x:v>优先原图，保留高分辨率；同时提供英文题名、年份、地点、人物和摄影者/版权信息。</x:v>
      </x:c>
      <x:c r="D10" s="30" t="str">
        <x:v>版本管理</x:v>
      </x:c>
      <x:c r="E10" s="30" t="str">
        <x:v>文件名末尾使用v01、v02；最终版标记FINAL</x:v>
      </x:c>
      <x:c r="F10" s="30" t="str">
        <x:v>Visual_Documentary_DirectorsNote_FINAL.docx</x:v>
      </x:c>
    </x:row>
    <x:row r="11" ht="44" customHeight="1">
      <x:c r="A11" s="29" t="str">
        <x:v>视频</x:v>
      </x:c>
      <x:c r="B11" s="29" t="str">
        <x:v>建议1080p；提供英文标题、封面、字幕/逐字稿、时长和公开权限。</x:v>
      </x:c>
    </x:row>
    <x:row r="12" ht="44" customHeight="1">
      <x:c r="A12" s="30" t="str">
        <x:v>证明文件</x:v>
      </x:c>
      <x:c r="B12" s="30" t="str">
        <x:v>证书、奖项、项目PDF如为中文，另提供官方英文名或100词以内英文摘要。</x:v>
      </x:c>
    </x:row>
  </x:sheetData>
  <x:mergeCells>
    <x:mergeCell ref="A2:F2"/>
  </x:mergeCells>
  <x:pageMargins left="0.7" right="0.7" top="0.75" bottom="0.75" header="0.3" footer="0.3"/>
</x:worksheet>
</file>